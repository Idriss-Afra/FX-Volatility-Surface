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Docs Murex\FX Volatility Surface\"/>
    </mc:Choice>
  </mc:AlternateContent>
  <xr:revisionPtr revIDLastSave="0" documentId="13_ncr:1_{40FC4129-6AC4-4C58-B5E2-D6D339844C6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rket Data" sheetId="2" r:id="rId1"/>
    <sheet name="FX Smile Surface" sheetId="3" r:id="rId2"/>
    <sheet name="FX Black-Scholes Pricer" sheetId="4" r:id="rId3"/>
  </sheets>
  <functionGroups builtInGroupCount="19"/>
  <definedNames>
    <definedName name="Abscissa">'FX Black-Scholes Pricer'!$G$10:$K$10</definedName>
    <definedName name="ATMConv">#REF!</definedName>
    <definedName name="ATMConvention">'FX Smile Surface'!$C$6</definedName>
    <definedName name="CF">#REF!</definedName>
    <definedName name="DeltaConv">#REF!</definedName>
    <definedName name="DeltaConvention">'FX Smile Surface'!$C$7</definedName>
    <definedName name="DF">'FX Black-Scholes Pricer'!$C$25</definedName>
    <definedName name="DomRate">'FX Black-Scholes Pricer'!$C$22</definedName>
    <definedName name="Expiry">'FX Black-Scholes Pricer'!$C$21</definedName>
    <definedName name="Extrapolation">'FX Black-Scholes Pricer'!$C$17</definedName>
    <definedName name="Flavor">'FX Black-Scholes Pricer'!$C$9</definedName>
    <definedName name="ForRate">'FX Black-Scholes Pricer'!$C$23</definedName>
    <definedName name="Forward">'FX Black-Scholes Pricer'!$C$24</definedName>
    <definedName name="Fwd">#REF!</definedName>
    <definedName name="InterpMethod">'FX Black-Scholes Pricer'!$C$16</definedName>
    <definedName name="Notional">'FX Black-Scholes Pricer'!$C$10</definedName>
    <definedName name="Ordinate">'FX Black-Scholes Pricer'!$G$9:$K$9</definedName>
    <definedName name="Price">'FX Black-Scholes Pricer'!$C$27</definedName>
    <definedName name="Scale">'FX Black-Scholes Pricer'!$C$15</definedName>
    <definedName name="Spot">'Market Data'!$C$7</definedName>
    <definedName name="Strike">'FX Black-Scholes Pricer'!$C$11</definedName>
    <definedName name="Te">#REF!</definedName>
    <definedName name="Today">'Market Data'!$C$5</definedName>
    <definedName name="Vol">'FX Black-Scholes Pricer'!$C$26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4" l="1"/>
  <c r="D13" i="3" a="1"/>
  <c r="D13" i="3" l="1"/>
  <c r="C8" i="4"/>
  <c r="C24" i="4"/>
  <c r="C23" i="4"/>
  <c r="C22" i="4"/>
  <c r="H7" i="4"/>
  <c r="I7" i="4"/>
  <c r="J7" i="4"/>
  <c r="K7" i="4"/>
  <c r="G7" i="4"/>
  <c r="F7" i="4"/>
  <c r="C20" i="4"/>
  <c r="C21" i="4" s="1"/>
  <c r="C7" i="4"/>
  <c r="C6" i="4"/>
  <c r="D31" i="3" a="1"/>
  <c r="F34" i="3" a="1"/>
  <c r="F36" i="3" a="1"/>
  <c r="F41" i="3" a="1"/>
  <c r="F43" i="3" a="1"/>
  <c r="F50" i="3" a="1"/>
  <c r="F58" i="3" a="1"/>
  <c r="F49" i="3" a="1"/>
  <c r="F40" i="3" a="1"/>
  <c r="F38" i="3" a="1"/>
  <c r="F52" i="3" a="1"/>
  <c r="F51" i="3" a="1"/>
  <c r="F35" i="3" a="1"/>
  <c r="F33" i="3" a="1"/>
  <c r="F54" i="3" a="1"/>
  <c r="F55" i="3" a="1"/>
  <c r="F39" i="3" a="1"/>
  <c r="F59" i="3" a="1"/>
  <c r="F57" i="3" a="1"/>
  <c r="F42" i="3" a="1"/>
  <c r="F53" i="3" a="1"/>
  <c r="F61" i="3" a="1"/>
  <c r="F56" i="3" a="1"/>
  <c r="F37" i="3" a="1"/>
  <c r="F31" i="3" a="1"/>
  <c r="F60" i="3" a="1"/>
  <c r="F32" i="3" a="1"/>
  <c r="D31" i="3" l="1"/>
  <c r="F38" i="3"/>
  <c r="F43" i="3"/>
  <c r="F39" i="3"/>
  <c r="F33" i="3"/>
  <c r="F40" i="3"/>
  <c r="F41" i="3"/>
  <c r="F37" i="3"/>
  <c r="F35" i="3"/>
  <c r="F42" i="3"/>
  <c r="F36" i="3"/>
  <c r="F34" i="3"/>
  <c r="F32" i="3"/>
  <c r="F61" i="3"/>
  <c r="F31" i="3"/>
  <c r="F58" i="3"/>
  <c r="F57" i="3"/>
  <c r="F51" i="3"/>
  <c r="F60" i="3"/>
  <c r="F59" i="3"/>
  <c r="F55" i="3"/>
  <c r="F53" i="3"/>
  <c r="F56" i="3"/>
  <c r="F54" i="3"/>
  <c r="F52" i="3"/>
  <c r="F50" i="3"/>
  <c r="F49" i="3"/>
  <c r="D49" i="3" a="1"/>
  <c r="D49" i="3" l="1"/>
  <c r="F14" i="3"/>
  <c r="F15" i="3"/>
  <c r="F16" i="3"/>
  <c r="F17" i="3"/>
  <c r="F18" i="3"/>
  <c r="F19" i="3"/>
  <c r="F20" i="3"/>
  <c r="F21" i="3"/>
  <c r="F22" i="3"/>
  <c r="F23" i="3"/>
  <c r="F24" i="3"/>
  <c r="F25" i="3"/>
  <c r="F13" i="3"/>
  <c r="E13" i="2"/>
  <c r="G13" i="2" s="1"/>
  <c r="H13" i="2" s="1"/>
  <c r="E14" i="2"/>
  <c r="G14" i="2" s="1"/>
  <c r="H14" i="2" s="1"/>
  <c r="E15" i="2"/>
  <c r="G15" i="2" s="1"/>
  <c r="H15" i="2" s="1"/>
  <c r="E16" i="2"/>
  <c r="G16" i="2" s="1"/>
  <c r="H16" i="2" s="1"/>
  <c r="E17" i="2"/>
  <c r="G17" i="2" s="1"/>
  <c r="H17" i="2" s="1"/>
  <c r="E18" i="2"/>
  <c r="G18" i="2" s="1"/>
  <c r="H18" i="2" s="1"/>
  <c r="E19" i="2"/>
  <c r="G19" i="2" s="1"/>
  <c r="H19" i="2" s="1"/>
  <c r="E20" i="2"/>
  <c r="G20" i="2" s="1"/>
  <c r="H20" i="2" s="1"/>
  <c r="E21" i="2"/>
  <c r="G21" i="2" s="1"/>
  <c r="H21" i="2" s="1"/>
  <c r="E22" i="2"/>
  <c r="G22" i="2" s="1"/>
  <c r="H22" i="2" s="1"/>
  <c r="E23" i="2"/>
  <c r="G23" i="2" s="1"/>
  <c r="H23" i="2" s="1"/>
  <c r="E24" i="2"/>
  <c r="G24" i="2" s="1"/>
  <c r="H24" i="2" s="1"/>
  <c r="E12" i="2"/>
  <c r="G12" i="2" s="1"/>
  <c r="H12" i="2" s="1"/>
  <c r="H21" i="3" a="1"/>
  <c r="H15" i="3" a="1"/>
  <c r="G19" i="3" a="1"/>
  <c r="D25" i="3" a="1"/>
  <c r="H14" i="3" a="1"/>
  <c r="G20" i="3" a="1"/>
  <c r="E19" i="3" a="1"/>
  <c r="D18" i="3" a="1"/>
  <c r="G24" i="3" a="1"/>
  <c r="D22" i="3" a="1"/>
  <c r="E25" i="3" a="1"/>
  <c r="E24" i="3" a="1"/>
  <c r="D21" i="3" a="1"/>
  <c r="H18" i="3" a="1"/>
  <c r="G17" i="3" a="1"/>
  <c r="E17" i="3" a="1"/>
  <c r="H17" i="3" a="1"/>
  <c r="D17" i="3" a="1"/>
  <c r="E22" i="3" a="1"/>
  <c r="G22" i="3" a="1"/>
  <c r="H13" i="3" a="1"/>
  <c r="H20" i="3" a="1"/>
  <c r="E15" i="3" a="1"/>
  <c r="H25" i="3" a="1"/>
  <c r="D15" i="3" a="1"/>
  <c r="D23" i="3" a="1"/>
  <c r="E13" i="3" a="1"/>
  <c r="G16" i="3" a="1"/>
  <c r="H23" i="3" a="1"/>
  <c r="E16" i="3" a="1"/>
  <c r="D24" i="3" a="1"/>
  <c r="H22" i="3" a="1"/>
  <c r="G25" i="3" a="1"/>
  <c r="E21" i="3" a="1"/>
  <c r="H19" i="3" a="1"/>
  <c r="E14" i="3" a="1"/>
  <c r="H24" i="3" a="1"/>
  <c r="D19" i="3" a="1"/>
  <c r="D14" i="3" a="1"/>
  <c r="D20" i="3" a="1"/>
  <c r="G18" i="3" a="1"/>
  <c r="D16" i="3" a="1"/>
  <c r="G23" i="3" a="1"/>
  <c r="G14" i="3" a="1"/>
  <c r="G13" i="3" a="1"/>
  <c r="G15" i="3" a="1"/>
  <c r="G21" i="3" a="1"/>
  <c r="E18" i="3" a="1"/>
  <c r="H16" i="3" a="1"/>
  <c r="E20" i="3" a="1"/>
  <c r="E23" i="3" a="1"/>
  <c r="H25" i="3" l="1"/>
  <c r="H23" i="3"/>
  <c r="H21" i="3"/>
  <c r="H19" i="3"/>
  <c r="H17" i="3"/>
  <c r="H15" i="3"/>
  <c r="H13" i="3"/>
  <c r="H24" i="3"/>
  <c r="H22" i="3"/>
  <c r="H20" i="3"/>
  <c r="H18" i="3"/>
  <c r="H16" i="3"/>
  <c r="H14" i="3"/>
  <c r="G22" i="3"/>
  <c r="G23" i="3"/>
  <c r="G19" i="3"/>
  <c r="G15" i="3"/>
  <c r="G13" i="3"/>
  <c r="G25" i="3"/>
  <c r="G21" i="3"/>
  <c r="G17" i="3"/>
  <c r="G24" i="3"/>
  <c r="G20" i="3"/>
  <c r="G18" i="3"/>
  <c r="G16" i="3"/>
  <c r="G14" i="3"/>
  <c r="E24" i="3"/>
  <c r="E25" i="3"/>
  <c r="E21" i="3"/>
  <c r="E15" i="3"/>
  <c r="E22" i="3"/>
  <c r="E23" i="3"/>
  <c r="E19" i="3"/>
  <c r="E17" i="3"/>
  <c r="E13" i="3"/>
  <c r="E20" i="3"/>
  <c r="E18" i="3"/>
  <c r="E16" i="3"/>
  <c r="E14" i="3"/>
  <c r="D25" i="3"/>
  <c r="D22" i="3"/>
  <c r="D20" i="3"/>
  <c r="D18" i="3"/>
  <c r="D16" i="3"/>
  <c r="D14" i="3"/>
  <c r="D19" i="3"/>
  <c r="D15" i="3"/>
  <c r="D24" i="3"/>
  <c r="D23" i="3"/>
  <c r="D21" i="3"/>
  <c r="D17" i="3"/>
  <c r="H40" i="3" a="1"/>
  <c r="E34" i="3" a="1"/>
  <c r="G41" i="3" a="1"/>
  <c r="E36" i="3" a="1"/>
  <c r="G32" i="3" a="1"/>
  <c r="D38" i="3" a="1"/>
  <c r="E33" i="3" a="1"/>
  <c r="G35" i="3" a="1"/>
  <c r="E39" i="3" a="1"/>
  <c r="H37" i="3" a="1"/>
  <c r="D33" i="3" a="1"/>
  <c r="E31" i="3" a="1"/>
  <c r="E41" i="3" a="1"/>
  <c r="G34" i="3" a="1"/>
  <c r="E37" i="3" a="1"/>
  <c r="H34" i="3" a="1"/>
  <c r="G31" i="3" a="1"/>
  <c r="D40" i="3" a="1"/>
  <c r="H43" i="3" a="1"/>
  <c r="E40" i="3" a="1"/>
  <c r="H41" i="3" a="1"/>
  <c r="D34" i="3" a="1"/>
  <c r="G37" i="3" a="1"/>
  <c r="H39" i="3" a="1"/>
  <c r="D39" i="3" a="1"/>
  <c r="D43" i="3" a="1"/>
  <c r="H33" i="3" a="1"/>
  <c r="G40" i="3" a="1"/>
  <c r="E43" i="3" a="1"/>
  <c r="D41" i="3" a="1"/>
  <c r="H36" i="3" a="1"/>
  <c r="G33" i="3" a="1"/>
  <c r="D37" i="3" a="1"/>
  <c r="E35" i="3" a="1"/>
  <c r="G38" i="3" a="1"/>
  <c r="G36" i="3" a="1"/>
  <c r="H31" i="3" a="1"/>
  <c r="H42" i="3" a="1"/>
  <c r="D35" i="3" a="1"/>
  <c r="G42" i="3" a="1"/>
  <c r="D32" i="3" a="1"/>
  <c r="H35" i="3" a="1"/>
  <c r="H38" i="3" a="1"/>
  <c r="E42" i="3" a="1"/>
  <c r="D42" i="3" a="1"/>
  <c r="D36" i="3" a="1"/>
  <c r="H32" i="3" a="1"/>
  <c r="E32" i="3" a="1"/>
  <c r="E38" i="3" a="1"/>
  <c r="G43" i="3" a="1"/>
  <c r="G39" i="3" a="1"/>
  <c r="H31" i="3" l="1"/>
  <c r="D41" i="3"/>
  <c r="D32" i="3"/>
  <c r="D40" i="3"/>
  <c r="E34" i="3"/>
  <c r="E35" i="3"/>
  <c r="E33" i="3"/>
  <c r="G32" i="3"/>
  <c r="G42" i="3"/>
  <c r="G31" i="3"/>
  <c r="G40" i="3"/>
  <c r="H38" i="3"/>
  <c r="H33" i="3"/>
  <c r="H41" i="3"/>
  <c r="D42" i="3"/>
  <c r="D34" i="3"/>
  <c r="E36" i="3"/>
  <c r="E37" i="3"/>
  <c r="E39" i="3"/>
  <c r="G34" i="3"/>
  <c r="G35" i="3"/>
  <c r="G33" i="3"/>
  <c r="H32" i="3"/>
  <c r="H40" i="3"/>
  <c r="H35" i="3"/>
  <c r="H43" i="3"/>
  <c r="D35" i="3"/>
  <c r="D33" i="3"/>
  <c r="D36" i="3"/>
  <c r="D43" i="3"/>
  <c r="E38" i="3"/>
  <c r="E41" i="3"/>
  <c r="E43" i="3"/>
  <c r="G36" i="3"/>
  <c r="G39" i="3"/>
  <c r="G37" i="3"/>
  <c r="H34" i="3"/>
  <c r="H42" i="3"/>
  <c r="H37" i="3"/>
  <c r="D39" i="3"/>
  <c r="D37" i="3"/>
  <c r="D38" i="3"/>
  <c r="E32" i="3"/>
  <c r="E31" i="3"/>
  <c r="E40" i="3"/>
  <c r="E42" i="3"/>
  <c r="G38" i="3"/>
  <c r="G43" i="3"/>
  <c r="G41" i="3"/>
  <c r="H36" i="3"/>
  <c r="H39" i="3"/>
  <c r="G9" i="4" a="1"/>
  <c r="H59" i="3" a="1"/>
  <c r="G51" i="3" a="1"/>
  <c r="D61" i="3" a="1"/>
  <c r="H53" i="3" a="1"/>
  <c r="H51" i="3" a="1"/>
  <c r="E61" i="3" a="1"/>
  <c r="D56" i="3" a="1"/>
  <c r="G60" i="3" a="1"/>
  <c r="D50" i="3" a="1"/>
  <c r="G54" i="3" a="1"/>
  <c r="E51" i="3" a="1"/>
  <c r="E56" i="3" a="1"/>
  <c r="G53" i="3" a="1"/>
  <c r="G56" i="3" a="1"/>
  <c r="D54" i="3" a="1"/>
  <c r="H60" i="3" a="1"/>
  <c r="D53" i="3" a="1"/>
  <c r="E55" i="3" a="1"/>
  <c r="H57" i="3" a="1"/>
  <c r="G59" i="3" a="1"/>
  <c r="E52" i="3" a="1"/>
  <c r="D60" i="3" a="1"/>
  <c r="H50" i="3" a="1"/>
  <c r="H52" i="3" a="1"/>
  <c r="E54" i="3" a="1"/>
  <c r="H56" i="3" a="1"/>
  <c r="G57" i="3" a="1"/>
  <c r="E58" i="3" a="1"/>
  <c r="H49" i="3" a="1"/>
  <c r="E53" i="3" a="1"/>
  <c r="E50" i="3" a="1"/>
  <c r="H54" i="3" a="1"/>
  <c r="D59" i="3" a="1"/>
  <c r="G58" i="3" a="1"/>
  <c r="E60" i="3" a="1"/>
  <c r="G49" i="3" a="1"/>
  <c r="E57" i="3" a="1"/>
  <c r="H55" i="3" a="1"/>
  <c r="G52" i="3" a="1"/>
  <c r="G61" i="3" a="1"/>
  <c r="H61" i="3" a="1"/>
  <c r="D55" i="3" a="1"/>
  <c r="D58" i="3" a="1"/>
  <c r="D51" i="3" a="1"/>
  <c r="E49" i="3" a="1"/>
  <c r="G50" i="3" a="1"/>
  <c r="H58" i="3" a="1"/>
  <c r="D57" i="3" a="1"/>
  <c r="D52" i="3" a="1"/>
  <c r="E59" i="3" a="1"/>
  <c r="G55" i="3" a="1"/>
  <c r="H57" i="3" l="1"/>
  <c r="G61" i="3"/>
  <c r="E49" i="3"/>
  <c r="D57" i="3"/>
  <c r="E59" i="3"/>
  <c r="D51" i="3"/>
  <c r="H58" i="3"/>
  <c r="G52" i="3"/>
  <c r="H51" i="3"/>
  <c r="G60" i="3"/>
  <c r="E52" i="3"/>
  <c r="H49" i="3"/>
  <c r="G56" i="3"/>
  <c r="E50" i="3"/>
  <c r="H55" i="3"/>
  <c r="G57" i="3"/>
  <c r="E56" i="3"/>
  <c r="D53" i="3"/>
  <c r="H50" i="3"/>
  <c r="E57" i="3"/>
  <c r="D52" i="3"/>
  <c r="H56" i="3"/>
  <c r="G50" i="3"/>
  <c r="D58" i="3"/>
  <c r="H54" i="3"/>
  <c r="E60" i="3"/>
  <c r="D56" i="3"/>
  <c r="H60" i="3"/>
  <c r="G54" i="3"/>
  <c r="D61" i="3"/>
  <c r="H61" i="3"/>
  <c r="G51" i="3"/>
  <c r="E55" i="3"/>
  <c r="D60" i="3"/>
  <c r="G58" i="3"/>
  <c r="E51" i="3"/>
  <c r="D50" i="3"/>
  <c r="G55" i="3"/>
  <c r="G59" i="3"/>
  <c r="E58" i="3"/>
  <c r="D55" i="3"/>
  <c r="H52" i="3"/>
  <c r="E61" i="3"/>
  <c r="D54" i="3"/>
  <c r="H53" i="3"/>
  <c r="G53" i="3"/>
  <c r="E54" i="3"/>
  <c r="H59" i="3"/>
  <c r="G49" i="3"/>
  <c r="E53" i="3"/>
  <c r="D59" i="3"/>
  <c r="G8" i="4" a="1"/>
  <c r="G9" i="4"/>
  <c r="H10" i="4" l="1"/>
  <c r="I10" i="4"/>
  <c r="J10" i="4"/>
  <c r="K10" i="4"/>
  <c r="G8" i="4"/>
  <c r="G1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<sst xmlns="http://schemas.openxmlformats.org/spreadsheetml/2006/main" count="161" uniqueCount="75">
  <si>
    <t>25RR Mid</t>
  </si>
  <si>
    <t>10RR Mid</t>
  </si>
  <si>
    <t>25FLY Mid</t>
  </si>
  <si>
    <t>10FLY Mid</t>
  </si>
  <si>
    <t>10D Put</t>
  </si>
  <si>
    <t>25D Put</t>
  </si>
  <si>
    <t>ATM</t>
  </si>
  <si>
    <t>25D Call</t>
  </si>
  <si>
    <t>10D Call</t>
  </si>
  <si>
    <t>Strike</t>
  </si>
  <si>
    <t>Strikes</t>
  </si>
  <si>
    <t>Forward</t>
  </si>
  <si>
    <t>Call</t>
  </si>
  <si>
    <t>Today</t>
  </si>
  <si>
    <t>Tenor</t>
  </si>
  <si>
    <t>2W</t>
  </si>
  <si>
    <t>1W</t>
  </si>
  <si>
    <t>Currency Pair</t>
  </si>
  <si>
    <t>EUR/USD</t>
  </si>
  <si>
    <t>3W</t>
  </si>
  <si>
    <t>1M</t>
  </si>
  <si>
    <t>3M</t>
  </si>
  <si>
    <t>6M</t>
  </si>
  <si>
    <t>9M</t>
  </si>
  <si>
    <t>1Y</t>
  </si>
  <si>
    <t>18M</t>
  </si>
  <si>
    <t>2Y</t>
  </si>
  <si>
    <t>3Y</t>
  </si>
  <si>
    <t>4Y</t>
  </si>
  <si>
    <t>5Y</t>
  </si>
  <si>
    <t>Swap Points (Bps)</t>
  </si>
  <si>
    <t>Spot Price</t>
  </si>
  <si>
    <t>Fwd</t>
  </si>
  <si>
    <t>Color Coding</t>
  </si>
  <si>
    <t>Calculation</t>
  </si>
  <si>
    <t>Input</t>
  </si>
  <si>
    <t>Dom ZC Rate</t>
  </si>
  <si>
    <t>Expiry</t>
  </si>
  <si>
    <t>Implied CF For</t>
  </si>
  <si>
    <t>Smile Conventions</t>
  </si>
  <si>
    <t>Delta with Premium</t>
  </si>
  <si>
    <t>Implied ZC For Rate</t>
  </si>
  <si>
    <t>ATM Straddle, Risk-Reversal, and Butterfly Quotes :</t>
  </si>
  <si>
    <t>Implied Volatilities</t>
  </si>
  <si>
    <t>Copy</t>
  </si>
  <si>
    <t>Trade Date</t>
  </si>
  <si>
    <t>Call / Put</t>
  </si>
  <si>
    <t>Convergence Quality :</t>
  </si>
  <si>
    <t>Expiry Tenor</t>
  </si>
  <si>
    <t>Expiry Date</t>
  </si>
  <si>
    <t>FX Volatility</t>
  </si>
  <si>
    <t>Volatilities</t>
  </si>
  <si>
    <t>Scale Type</t>
  </si>
  <si>
    <t>Extrapolation</t>
  </si>
  <si>
    <t>Flat</t>
  </si>
  <si>
    <t>FX Vanilla Contract</t>
  </si>
  <si>
    <t>FX Volatility Configuration</t>
  </si>
  <si>
    <t>Pricer Results</t>
  </si>
  <si>
    <t>Volatility Scale</t>
  </si>
  <si>
    <t>FX Spot</t>
  </si>
  <si>
    <t>For ZC Rate</t>
  </si>
  <si>
    <t>Log-Moneyness</t>
  </si>
  <si>
    <t>Notional (For)</t>
  </si>
  <si>
    <t>Price (Dom)</t>
  </si>
  <si>
    <t>Interpolation Method</t>
  </si>
  <si>
    <t>Time to Expiry</t>
  </si>
  <si>
    <t>ATM Strike Convention</t>
  </si>
  <si>
    <t>Discount Factor</t>
  </si>
  <si>
    <t>Delta Neutral</t>
  </si>
  <si>
    <t>Deltas</t>
  </si>
  <si>
    <t>Included</t>
  </si>
  <si>
    <t>Cubic Spline</t>
  </si>
  <si>
    <t>From Delta to Strike Scale :</t>
  </si>
  <si>
    <t>Forward &amp; Implied Foreign ZC Curves :</t>
  </si>
  <si>
    <t>25D / 10D Call and Put Implied Volatilities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</si>
</sst>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0"/>
    <numFmt numFmtId="166" formatCode="0.000%"/>
    <numFmt numFmtId="167" formatCode="#,##0.000"/>
    <numFmt numFmtId="168" formatCode="0.00000%"/>
    <numFmt numFmtId="169" formatCode="0.000000"/>
    <numFmt numFmtId="170" formatCode="0.000000000"/>
    <numFmt numFmtId="171" formatCode="#,##0.0000"/>
  </numFmts>
  <fonts count="9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Calibri"/>
      <family val="2"/>
    </font>
    <font>
      <b/>
      <sz val="8"/>
      <color indexed="8"/>
      <name val="Arial"/>
      <family val="2"/>
    </font>
    <font>
      <b/>
      <sz val="9"/>
      <color theme="0"/>
      <name val="Arial"/>
      <family val="2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/>
    <xf numFmtId="0" fontId="5" fillId="0" borderId="0"/>
  </cellStyleXfs>
  <cellXfs count="42">
    <xf numFmtId="0" fontId="0" fillId="0" borderId="0" xfId="0"/>
    <xf numFmtId="0" fontId="1" fillId="0" borderId="1" xfId="0" applyFont="1" applyBorder="1" applyAlignment="1">
      <alignment horizontal="left"/>
    </xf>
    <xf numFmtId="15" fontId="4" fillId="5" borderId="0" xfId="2" applyNumberFormat="1" applyFont="1" applyFill="1"/>
    <xf numFmtId="0" fontId="4" fillId="5" borderId="0" xfId="2" applyFont="1" applyFill="1"/>
    <xf numFmtId="14" fontId="6" fillId="4" borderId="1" xfId="3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6" fillId="7" borderId="1" xfId="2" applyFont="1" applyFill="1" applyBorder="1" applyAlignment="1">
      <alignment horizontal="center" vertical="center"/>
    </xf>
    <xf numFmtId="0" fontId="7" fillId="5" borderId="0" xfId="3" applyFont="1" applyFill="1" applyAlignment="1">
      <alignment horizontal="center" vertical="center" wrapText="1"/>
    </xf>
    <xf numFmtId="14" fontId="6" fillId="7" borderId="1" xfId="2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165" fontId="6" fillId="7" borderId="1" xfId="2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9" fontId="1" fillId="4" borderId="1" xfId="1" applyFont="1" applyFill="1" applyBorder="1" applyAlignment="1">
      <alignment horizontal="center" vertical="center"/>
    </xf>
    <xf numFmtId="165" fontId="1" fillId="3" borderId="1" xfId="1" applyNumberFormat="1" applyFon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0" xfId="0" applyAlignment="1">
      <alignment vertical="center"/>
    </xf>
    <xf numFmtId="165" fontId="1" fillId="4" borderId="1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66" fontId="1" fillId="4" borderId="1" xfId="1" applyNumberFormat="1" applyFont="1" applyFill="1" applyBorder="1" applyAlignment="1">
      <alignment horizontal="center" vertical="center"/>
    </xf>
    <xf numFmtId="166" fontId="1" fillId="3" borderId="1" xfId="1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6" fillId="4" borderId="1" xfId="3" applyFont="1" applyFill="1" applyBorder="1" applyAlignment="1">
      <alignment horizontal="center" vertical="center"/>
    </xf>
    <xf numFmtId="10" fontId="1" fillId="3" borderId="1" xfId="1" applyNumberFormat="1" applyFont="1" applyFill="1" applyBorder="1" applyAlignment="1">
      <alignment horizontal="center" vertical="center"/>
    </xf>
    <xf numFmtId="4" fontId="6" fillId="4" borderId="1" xfId="3" applyNumberFormat="1" applyFont="1" applyFill="1" applyBorder="1" applyAlignment="1">
      <alignment horizontal="center" vertical="center"/>
    </xf>
    <xf numFmtId="4" fontId="1" fillId="3" borderId="1" xfId="0" applyNumberFormat="1" applyFont="1" applyFill="1" applyBorder="1" applyAlignment="1">
      <alignment horizontal="center" vertical="center"/>
    </xf>
    <xf numFmtId="167" fontId="1" fillId="3" borderId="1" xfId="1" applyNumberFormat="1" applyFont="1" applyFill="1" applyBorder="1" applyAlignment="1">
      <alignment horizontal="center" vertical="center"/>
    </xf>
    <xf numFmtId="168" fontId="1" fillId="3" borderId="1" xfId="1" applyNumberFormat="1" applyFont="1" applyFill="1" applyBorder="1" applyAlignment="1">
      <alignment horizontal="center" vertical="center"/>
    </xf>
    <xf numFmtId="4" fontId="0" fillId="0" borderId="0" xfId="0" applyNumberFormat="1"/>
    <xf numFmtId="169" fontId="0" fillId="0" borderId="0" xfId="0" applyNumberFormat="1"/>
    <xf numFmtId="0" fontId="1" fillId="0" borderId="3" xfId="0" applyFont="1" applyBorder="1" applyAlignment="1">
      <alignment horizontal="left" vertical="center"/>
    </xf>
    <xf numFmtId="165" fontId="6" fillId="4" borderId="1" xfId="3" applyNumberFormat="1" applyFont="1" applyFill="1" applyBorder="1" applyAlignment="1">
      <alignment horizontal="center" vertical="center"/>
    </xf>
    <xf numFmtId="166" fontId="0" fillId="0" borderId="0" xfId="1" applyNumberFormat="1" applyFont="1"/>
    <xf numFmtId="170" fontId="0" fillId="0" borderId="0" xfId="0" applyNumberFormat="1"/>
    <xf numFmtId="171" fontId="0" fillId="0" borderId="0" xfId="0" applyNumberFormat="1"/>
    <xf numFmtId="0" fontId="1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</cellXfs>
  <cellStyles count="4">
    <cellStyle name="Normal" xfId="0" builtinId="0"/>
    <cellStyle name="Normal 5" xfId="3" xr:uid="{6EF3574C-A201-4E3F-9754-84E182E6D117}"/>
    <cellStyle name="Normal_KIKO_Greeks_for_KB_OK" xfId="2" xr:uid="{EFA22829-A9EE-414F-98EC-DA770381C243}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FX Volatility</a:t>
            </a:r>
            <a:r>
              <a:rPr lang="fr-FR" baseline="0"/>
              <a:t> Smiles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FX Smile 3M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'FX Smile Surface'!$D$35:$H$35</c:f>
              <c:numCache>
                <c:formatCode>0.000</c:formatCode>
                <c:ptCount val="5"/>
                <c:pt idx="0">
                  <c:v>1.0056869820515419</c:v>
                </c:pt>
                <c:pt idx="1">
                  <c:v>1.0339153961706433</c:v>
                </c:pt>
                <c:pt idx="2">
                  <c:v>1.0600901339638964</c:v>
                </c:pt>
                <c:pt idx="3">
                  <c:v>1.085887441704579</c:v>
                </c:pt>
                <c:pt idx="4">
                  <c:v>1.1099181407419685</c:v>
                </c:pt>
              </c:numCache>
            </c:numRef>
          </c:xVal>
          <c:yVal>
            <c:numRef>
              <c:f>'FX Smile Surface'!$D$17:$H$17</c:f>
              <c:numCache>
                <c:formatCode>0.000</c:formatCode>
                <c:ptCount val="5"/>
                <c:pt idx="0">
                  <c:v>8.2125000000000004</c:v>
                </c:pt>
                <c:pt idx="1">
                  <c:v>7.5149999999999997</c:v>
                </c:pt>
                <c:pt idx="2">
                  <c:v>7.0129999999999999</c:v>
                </c:pt>
                <c:pt idx="3">
                  <c:v>6.835</c:v>
                </c:pt>
                <c:pt idx="4">
                  <c:v>6.8774999999999995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AC6-499E-9E7A-8858B4857B2F}"/>
            </c:ext>
          </c:extLst>
        </c:ser>
        <c:ser>
          <c:idx val="2"/>
          <c:order val="1"/>
          <c:tx>
            <c:v>FX Smile 6M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'FX Smile Surface'!$D$36:$H$36</c:f>
              <c:numCache>
                <c:formatCode>0.000</c:formatCode>
                <c:ptCount val="5"/>
                <c:pt idx="0">
                  <c:v>0.98363783932350157</c:v>
                </c:pt>
                <c:pt idx="1">
                  <c:v>1.0262554189281181</c:v>
                </c:pt>
                <c:pt idx="2">
                  <c:v>1.0637934362835664</c:v>
                </c:pt>
                <c:pt idx="3">
                  <c:v>1.1011010922699662</c:v>
                </c:pt>
                <c:pt idx="4">
                  <c:v>1.1366562196102272</c:v>
                </c:pt>
              </c:numCache>
            </c:numRef>
          </c:xVal>
          <c:yVal>
            <c:numRef>
              <c:f>'FX Smile Surface'!$D$18:$H$18</c:f>
              <c:numCache>
                <c:formatCode>0.000</c:formatCode>
                <c:ptCount val="5"/>
                <c:pt idx="0">
                  <c:v>8.8874999999999993</c:v>
                </c:pt>
                <c:pt idx="1">
                  <c:v>7.9399999999999995</c:v>
                </c:pt>
                <c:pt idx="2">
                  <c:v>7.2649999999999997</c:v>
                </c:pt>
                <c:pt idx="3">
                  <c:v>7.0299999999999994</c:v>
                </c:pt>
                <c:pt idx="4">
                  <c:v>7.0924999999999994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AC6-499E-9E7A-8858B4857B2F}"/>
            </c:ext>
          </c:extLst>
        </c:ser>
        <c:ser>
          <c:idx val="0"/>
          <c:order val="2"/>
          <c:tx>
            <c:v>FX Smile 1Y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'FX Smile Surface'!$D$38:$H$38</c:f>
              <c:numCache>
                <c:formatCode>0.000</c:formatCode>
                <c:ptCount val="5"/>
                <c:pt idx="0">
                  <c:v>0.95411740147775836</c:v>
                </c:pt>
                <c:pt idx="1">
                  <c:v>1.0181316420932103</c:v>
                </c:pt>
                <c:pt idx="2">
                  <c:v>1.0716757944877393</c:v>
                </c:pt>
                <c:pt idx="3">
                  <c:v>1.1263029999253258</c:v>
                </c:pt>
                <c:pt idx="4">
                  <c:v>1.1817382916365142</c:v>
                </c:pt>
              </c:numCache>
            </c:numRef>
          </c:xVal>
          <c:yVal>
            <c:numRef>
              <c:f>'FX Smile Surface'!$D$20:$H$20</c:f>
              <c:numCache>
                <c:formatCode>0.000</c:formatCode>
                <c:ptCount val="5"/>
                <c:pt idx="0">
                  <c:v>9.5449999999999999</c:v>
                </c:pt>
                <c:pt idx="1">
                  <c:v>8.3550000000000004</c:v>
                </c:pt>
                <c:pt idx="2">
                  <c:v>7.4649999999999999</c:v>
                </c:pt>
                <c:pt idx="3">
                  <c:v>7.2149999999999999</c:v>
                </c:pt>
                <c:pt idx="4">
                  <c:v>7.3849999999999998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AC6-499E-9E7A-8858B4857B2F}"/>
            </c:ext>
          </c:extLst>
        </c:ser>
        <c:ser>
          <c:idx val="3"/>
          <c:order val="3"/>
          <c:tx>
            <c:v>FX Smile 3Y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'FX Smile Surface'!$D$41:$H$41</c:f>
              <c:numCache>
                <c:formatCode>0.000</c:formatCode>
                <c:ptCount val="5"/>
                <c:pt idx="0">
                  <c:v>0.90224327632283374</c:v>
                </c:pt>
                <c:pt idx="1">
                  <c:v>1.0142367157107188</c:v>
                </c:pt>
                <c:pt idx="2">
                  <c:v>1.1009928123667985</c:v>
                </c:pt>
                <c:pt idx="3">
                  <c:v>1.2060269914277233</c:v>
                </c:pt>
                <c:pt idx="4">
                  <c:v>1.3280806724467085</c:v>
                </c:pt>
              </c:numCache>
            </c:numRef>
          </c:xVal>
          <c:yVal>
            <c:numRef>
              <c:f>'FX Smile Surface'!$D$23:$H$23</c:f>
              <c:numCache>
                <c:formatCode>0.000</c:formatCode>
                <c:ptCount val="5"/>
                <c:pt idx="0">
                  <c:v>10.134500000000001</c:v>
                </c:pt>
                <c:pt idx="1">
                  <c:v>8.8790000000000013</c:v>
                </c:pt>
                <c:pt idx="2">
                  <c:v>8.06</c:v>
                </c:pt>
                <c:pt idx="3">
                  <c:v>7.8910000000000009</c:v>
                </c:pt>
                <c:pt idx="4">
                  <c:v>8.1515000000000004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AC6-499E-9E7A-8858B4857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0894751"/>
        <c:axId val="1393320671"/>
      </c:scatterChart>
      <c:valAx>
        <c:axId val="1460894751"/>
        <c:scaling>
          <c:orientation val="minMax"/>
          <c:max val="1.35"/>
          <c:min val="0.85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3320671"/>
        <c:crosses val="autoZero"/>
        <c:crossBetween val="midCat"/>
        <c:majorUnit val="5.000000000000001E-2"/>
      </c:valAx>
      <c:valAx>
        <c:axId val="1393320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0894751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12</xdr:row>
      <xdr:rowOff>19050</xdr:rowOff>
    </xdr:from>
    <xdr:to>
      <xdr:col>17</xdr:col>
      <xdr:colOff>149225</xdr:colOff>
      <xdr:row>35</xdr:row>
      <xdr:rowOff>76201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27</xdr:row>
          <xdr:rowOff>114300</xdr:rowOff>
        </xdr:from>
        <xdr:to>
          <xdr:col>2</xdr:col>
          <xdr:colOff>603250</xdr:colOff>
          <xdr:row>30</xdr:row>
          <xdr:rowOff>25400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1299-66FF-4F6C-872B-422304FE2D3D}">
  <sheetPr codeName="Feuil2"/>
  <dimension ref="B1:H41"/>
  <sheetViews>
    <sheetView showGridLines="0" tabSelected="1" workbookViewId="0"/>
  </sheetViews>
  <sheetFormatPr baseColWidth="10" defaultRowHeight="14.5" x14ac:dyDescent="0.35"/>
  <cols>
    <col min="2" max="2" width="11.90625" customWidth="1"/>
    <col min="3" max="3" width="10.90625" customWidth="1"/>
    <col min="4" max="4" width="14" customWidth="1"/>
    <col min="5" max="5" width="14.54296875" bestFit="1" customWidth="1"/>
    <col min="6" max="6" width="13" customWidth="1"/>
    <col min="7" max="7" width="16" customWidth="1"/>
    <col min="8" max="8" width="16.81640625" customWidth="1"/>
  </cols>
  <sheetData>
    <row r="1" spans="2:8" s="3" customFormat="1" ht="10" x14ac:dyDescent="0.2">
      <c r="B1" s="2"/>
      <c r="G1" s="2"/>
    </row>
    <row r="2" spans="2:8" s="3" customFormat="1" ht="11.25" customHeight="1" x14ac:dyDescent="0.2">
      <c r="B2" s="7" t="s">
        <v>33</v>
      </c>
      <c r="C2" s="4" t="s">
        <v>35</v>
      </c>
      <c r="D2" s="5" t="s">
        <v>34</v>
      </c>
      <c r="E2" s="6" t="s">
        <v>44</v>
      </c>
    </row>
    <row r="3" spans="2:8" s="3" customFormat="1" ht="10" x14ac:dyDescent="0.2">
      <c r="B3" s="2"/>
      <c r="G3" s="2"/>
    </row>
    <row r="5" spans="2:8" x14ac:dyDescent="0.35">
      <c r="B5" s="23" t="s">
        <v>13</v>
      </c>
      <c r="C5" s="4">
        <v>45226</v>
      </c>
    </row>
    <row r="6" spans="2:8" x14ac:dyDescent="0.35">
      <c r="B6" s="23" t="s">
        <v>17</v>
      </c>
      <c r="C6" s="24" t="s">
        <v>18</v>
      </c>
    </row>
    <row r="7" spans="2:8" x14ac:dyDescent="0.35">
      <c r="B7" s="23" t="s">
        <v>31</v>
      </c>
      <c r="C7" s="33">
        <v>1.0562</v>
      </c>
    </row>
    <row r="9" spans="2:8" x14ac:dyDescent="0.35">
      <c r="B9" s="37" t="s">
        <v>73</v>
      </c>
      <c r="C9" s="37"/>
      <c r="D9" s="37"/>
      <c r="E9" s="37"/>
      <c r="F9" s="37"/>
      <c r="G9" s="37"/>
      <c r="H9" s="37"/>
    </row>
    <row r="11" spans="2:8" x14ac:dyDescent="0.35">
      <c r="B11" s="12" t="s">
        <v>14</v>
      </c>
      <c r="C11" s="12" t="s">
        <v>37</v>
      </c>
      <c r="D11" s="12" t="s">
        <v>30</v>
      </c>
      <c r="E11" s="12" t="s">
        <v>32</v>
      </c>
      <c r="F11" s="12" t="s">
        <v>36</v>
      </c>
      <c r="G11" s="12" t="s">
        <v>41</v>
      </c>
      <c r="H11" s="12" t="s">
        <v>38</v>
      </c>
    </row>
    <row r="12" spans="2:8" x14ac:dyDescent="0.35">
      <c r="B12" s="15" t="s">
        <v>16</v>
      </c>
      <c r="C12" s="15">
        <v>45237</v>
      </c>
      <c r="D12" s="19">
        <v>3</v>
      </c>
      <c r="E12" s="20">
        <f t="shared" ref="E12:E24" si="0">Spot+D12/10000</f>
        <v>1.0565</v>
      </c>
      <c r="F12" s="21">
        <v>5.3800000000000001E-2</v>
      </c>
      <c r="G12" s="22">
        <f t="shared" ref="G12:G24" si="1">F12 - LN(E12 / Spot) / ((C12 - Today) / 365)</f>
        <v>4.4376470373032453E-2</v>
      </c>
      <c r="H12" s="14">
        <f t="shared" ref="H12:H24" si="2">EXP(G12 * (C12-Today) / 365)</f>
        <v>1.0013382677619092</v>
      </c>
    </row>
    <row r="13" spans="2:8" x14ac:dyDescent="0.35">
      <c r="B13" s="15" t="s">
        <v>15</v>
      </c>
      <c r="C13" s="15">
        <v>45244</v>
      </c>
      <c r="D13" s="19">
        <v>5.95</v>
      </c>
      <c r="E13" s="20">
        <f t="shared" si="0"/>
        <v>1.0567949999999999</v>
      </c>
      <c r="F13" s="21">
        <v>5.3830000000000003E-2</v>
      </c>
      <c r="G13" s="22">
        <f t="shared" si="1"/>
        <v>4.2409927452101134E-2</v>
      </c>
      <c r="H13" s="14">
        <f t="shared" si="2"/>
        <v>1.0020936370809741</v>
      </c>
    </row>
    <row r="14" spans="2:8" x14ac:dyDescent="0.35">
      <c r="B14" s="15" t="s">
        <v>19</v>
      </c>
      <c r="C14" s="15">
        <v>45251</v>
      </c>
      <c r="D14" s="19">
        <v>8.91</v>
      </c>
      <c r="E14" s="20">
        <f t="shared" si="0"/>
        <v>1.057091</v>
      </c>
      <c r="F14" s="21">
        <v>5.3859999999999998E-2</v>
      </c>
      <c r="G14" s="22">
        <f t="shared" si="1"/>
        <v>4.1548774739675665E-2</v>
      </c>
      <c r="H14" s="14">
        <f t="shared" si="2"/>
        <v>1.0028498596402213</v>
      </c>
    </row>
    <row r="15" spans="2:8" x14ac:dyDescent="0.35">
      <c r="B15" s="15" t="s">
        <v>20</v>
      </c>
      <c r="C15" s="15">
        <v>45260</v>
      </c>
      <c r="D15" s="19">
        <v>12.76</v>
      </c>
      <c r="E15" s="20">
        <f t="shared" si="0"/>
        <v>1.0574760000000001</v>
      </c>
      <c r="F15" s="21">
        <v>5.391E-2</v>
      </c>
      <c r="G15" s="22">
        <f t="shared" si="1"/>
        <v>4.0948470457938077E-2</v>
      </c>
      <c r="H15" s="14">
        <f t="shared" si="2"/>
        <v>1.0038216620684486</v>
      </c>
    </row>
    <row r="16" spans="2:8" x14ac:dyDescent="0.35">
      <c r="B16" s="15" t="s">
        <v>21</v>
      </c>
      <c r="C16" s="15">
        <v>45322</v>
      </c>
      <c r="D16" s="19">
        <v>45.76</v>
      </c>
      <c r="E16" s="20">
        <f t="shared" si="0"/>
        <v>1.0607759999999999</v>
      </c>
      <c r="F16" s="21">
        <v>5.4469999999999998E-2</v>
      </c>
      <c r="G16" s="22">
        <f t="shared" si="1"/>
        <v>3.8033006448120119E-2</v>
      </c>
      <c r="H16" s="14">
        <f t="shared" si="2"/>
        <v>1.0100534009628681</v>
      </c>
    </row>
    <row r="17" spans="2:8" x14ac:dyDescent="0.35">
      <c r="B17" s="15" t="s">
        <v>22</v>
      </c>
      <c r="C17" s="15">
        <v>45412</v>
      </c>
      <c r="D17" s="19">
        <v>90.25</v>
      </c>
      <c r="E17" s="20">
        <f t="shared" si="0"/>
        <v>1.0652250000000001</v>
      </c>
      <c r="F17" s="21">
        <v>5.5010000000000003E-2</v>
      </c>
      <c r="G17" s="22">
        <f t="shared" si="1"/>
        <v>3.8313245406983332E-2</v>
      </c>
      <c r="H17" s="14">
        <f t="shared" si="2"/>
        <v>1.0197158499322787</v>
      </c>
    </row>
    <row r="18" spans="2:8" x14ac:dyDescent="0.35">
      <c r="B18" s="15" t="s">
        <v>23</v>
      </c>
      <c r="C18" s="15">
        <v>45504</v>
      </c>
      <c r="D18" s="19">
        <v>137.56</v>
      </c>
      <c r="E18" s="20">
        <f t="shared" si="0"/>
        <v>1.0699560000000001</v>
      </c>
      <c r="F18" s="21">
        <v>5.4760000000000003E-2</v>
      </c>
      <c r="G18" s="22">
        <f t="shared" si="1"/>
        <v>3.7770477814991779E-2</v>
      </c>
      <c r="H18" s="14">
        <f t="shared" si="2"/>
        <v>1.0291854370986375</v>
      </c>
    </row>
    <row r="19" spans="2:8" x14ac:dyDescent="0.35">
      <c r="B19" s="15" t="s">
        <v>24</v>
      </c>
      <c r="C19" s="15">
        <v>45596</v>
      </c>
      <c r="D19" s="19">
        <v>185.07</v>
      </c>
      <c r="E19" s="20">
        <f t="shared" si="0"/>
        <v>1.0747070000000001</v>
      </c>
      <c r="F19" s="21">
        <v>5.4149999999999997E-2</v>
      </c>
      <c r="G19" s="22">
        <f t="shared" si="1"/>
        <v>3.7014231555360891E-2</v>
      </c>
      <c r="H19" s="14">
        <f t="shared" si="2"/>
        <v>1.0382340861317438</v>
      </c>
    </row>
    <row r="20" spans="2:8" x14ac:dyDescent="0.35">
      <c r="B20" s="15" t="s">
        <v>25</v>
      </c>
      <c r="C20" s="15">
        <v>45777</v>
      </c>
      <c r="D20" s="19">
        <v>282.06</v>
      </c>
      <c r="E20" s="20">
        <f t="shared" si="0"/>
        <v>1.084406</v>
      </c>
      <c r="F20" s="21">
        <v>5.2420000000000001E-2</v>
      </c>
      <c r="G20" s="22">
        <f t="shared" si="1"/>
        <v>3.4961731800804335E-2</v>
      </c>
      <c r="H20" s="14">
        <f t="shared" si="2"/>
        <v>1.0541954266217717</v>
      </c>
    </row>
    <row r="21" spans="2:8" x14ac:dyDescent="0.35">
      <c r="B21" s="15" t="s">
        <v>26</v>
      </c>
      <c r="C21" s="15">
        <v>45961</v>
      </c>
      <c r="D21" s="19">
        <v>373.03</v>
      </c>
      <c r="E21" s="20">
        <f t="shared" si="0"/>
        <v>1.0935030000000001</v>
      </c>
      <c r="F21" s="21">
        <v>5.0709999999999998E-2</v>
      </c>
      <c r="G21" s="22">
        <f t="shared" si="1"/>
        <v>3.3473685287857394E-2</v>
      </c>
      <c r="H21" s="14">
        <f t="shared" si="2"/>
        <v>1.0697296085075356</v>
      </c>
    </row>
    <row r="22" spans="2:8" x14ac:dyDescent="0.35">
      <c r="B22" s="15" t="s">
        <v>27</v>
      </c>
      <c r="C22" s="15">
        <v>46325</v>
      </c>
      <c r="D22" s="19">
        <v>556.13499999999999</v>
      </c>
      <c r="E22" s="20">
        <f t="shared" si="0"/>
        <v>1.1118135</v>
      </c>
      <c r="F22" s="21">
        <v>4.9099999999999998E-2</v>
      </c>
      <c r="G22" s="22">
        <f t="shared" si="1"/>
        <v>3.2057288266390434E-2</v>
      </c>
      <c r="H22" s="14">
        <f t="shared" si="2"/>
        <v>1.1013351070945121</v>
      </c>
    </row>
    <row r="23" spans="2:8" x14ac:dyDescent="0.35">
      <c r="B23" s="15" t="s">
        <v>28</v>
      </c>
      <c r="C23" s="15">
        <v>46689</v>
      </c>
      <c r="D23" s="19">
        <v>734.25</v>
      </c>
      <c r="E23" s="20">
        <f t="shared" si="0"/>
        <v>1.1296250000000001</v>
      </c>
      <c r="F23" s="21">
        <v>4.895E-2</v>
      </c>
      <c r="G23" s="22">
        <f t="shared" si="1"/>
        <v>3.2182414455577721E-2</v>
      </c>
      <c r="H23" s="14">
        <f t="shared" si="2"/>
        <v>1.1376834923820809</v>
      </c>
    </row>
    <row r="24" spans="2:8" x14ac:dyDescent="0.35">
      <c r="B24" s="15" t="s">
        <v>29</v>
      </c>
      <c r="C24" s="15">
        <v>47057</v>
      </c>
      <c r="D24" s="19">
        <v>922.73</v>
      </c>
      <c r="E24" s="20">
        <f t="shared" si="0"/>
        <v>1.1484730000000001</v>
      </c>
      <c r="F24" s="21">
        <v>4.956E-2</v>
      </c>
      <c r="G24" s="22">
        <f t="shared" si="1"/>
        <v>3.2863757226005839E-2</v>
      </c>
      <c r="H24" s="14">
        <f t="shared" si="2"/>
        <v>1.1792268504812951</v>
      </c>
    </row>
    <row r="26" spans="2:8" x14ac:dyDescent="0.35">
      <c r="B26" s="37" t="s">
        <v>42</v>
      </c>
      <c r="C26" s="37"/>
      <c r="D26" s="37"/>
      <c r="E26" s="37"/>
      <c r="F26" s="37"/>
      <c r="G26" s="37"/>
      <c r="H26" s="37"/>
    </row>
    <row r="28" spans="2:8" x14ac:dyDescent="0.35">
      <c r="B28" s="12" t="s">
        <v>14</v>
      </c>
      <c r="C28" s="12" t="s">
        <v>37</v>
      </c>
      <c r="D28" s="12" t="s">
        <v>6</v>
      </c>
      <c r="E28" s="12" t="s">
        <v>0</v>
      </c>
      <c r="F28" s="12" t="s">
        <v>1</v>
      </c>
      <c r="G28" s="12" t="s">
        <v>2</v>
      </c>
      <c r="H28" s="12" t="s">
        <v>3</v>
      </c>
    </row>
    <row r="29" spans="2:8" x14ac:dyDescent="0.35">
      <c r="B29" s="15" t="s">
        <v>16</v>
      </c>
      <c r="C29" s="15">
        <v>45237</v>
      </c>
      <c r="D29" s="19">
        <v>7.3150000000000004</v>
      </c>
      <c r="E29" s="19">
        <v>-0.14000000000000001</v>
      </c>
      <c r="F29" s="19">
        <v>-0.22700000000000001</v>
      </c>
      <c r="G29" s="19">
        <v>7.0000000000000007E-2</v>
      </c>
      <c r="H29" s="19">
        <v>0.22</v>
      </c>
    </row>
    <row r="30" spans="2:8" x14ac:dyDescent="0.35">
      <c r="B30" s="15" t="s">
        <v>15</v>
      </c>
      <c r="C30" s="15">
        <v>45244</v>
      </c>
      <c r="D30" s="19">
        <v>6.923</v>
      </c>
      <c r="E30" s="19">
        <v>-0.253</v>
      </c>
      <c r="F30" s="19">
        <v>-0.47</v>
      </c>
      <c r="G30" s="19">
        <v>0.08</v>
      </c>
      <c r="H30" s="19">
        <v>0.253</v>
      </c>
    </row>
    <row r="31" spans="2:8" x14ac:dyDescent="0.35">
      <c r="B31" s="15" t="s">
        <v>19</v>
      </c>
      <c r="C31" s="15">
        <v>45251</v>
      </c>
      <c r="D31" s="19">
        <v>6.8719999999999999</v>
      </c>
      <c r="E31" s="19">
        <v>-0.32500000000000001</v>
      </c>
      <c r="F31" s="19">
        <v>-0.61</v>
      </c>
      <c r="G31" s="19">
        <v>0.08</v>
      </c>
      <c r="H31" s="19">
        <v>0.26</v>
      </c>
    </row>
    <row r="32" spans="2:8" x14ac:dyDescent="0.35">
      <c r="B32" s="15" t="s">
        <v>20</v>
      </c>
      <c r="C32" s="15">
        <v>45260</v>
      </c>
      <c r="D32" s="19">
        <v>6.7169999999999996</v>
      </c>
      <c r="E32" s="19">
        <v>-0.4</v>
      </c>
      <c r="F32" s="19">
        <v>-0.76300000000000001</v>
      </c>
      <c r="G32" s="19">
        <v>8.2000000000000003E-2</v>
      </c>
      <c r="H32" s="19">
        <v>0.28199999999999997</v>
      </c>
    </row>
    <row r="33" spans="2:8" x14ac:dyDescent="0.35">
      <c r="B33" s="15" t="s">
        <v>21</v>
      </c>
      <c r="C33" s="15">
        <v>45322</v>
      </c>
      <c r="D33" s="19">
        <v>7.0129999999999999</v>
      </c>
      <c r="E33" s="19">
        <v>-0.68</v>
      </c>
      <c r="F33" s="19">
        <v>-1.335</v>
      </c>
      <c r="G33" s="19">
        <v>0.16200000000000001</v>
      </c>
      <c r="H33" s="19">
        <v>0.53200000000000003</v>
      </c>
    </row>
    <row r="34" spans="2:8" x14ac:dyDescent="0.35">
      <c r="B34" s="15" t="s">
        <v>22</v>
      </c>
      <c r="C34" s="15">
        <v>45412</v>
      </c>
      <c r="D34" s="19">
        <v>7.2649999999999997</v>
      </c>
      <c r="E34" s="19">
        <v>-0.91</v>
      </c>
      <c r="F34" s="19">
        <v>-1.7949999999999999</v>
      </c>
      <c r="G34" s="19">
        <v>0.22</v>
      </c>
      <c r="H34" s="19">
        <v>0.72499999999999998</v>
      </c>
    </row>
    <row r="35" spans="2:8" x14ac:dyDescent="0.35">
      <c r="B35" s="15" t="s">
        <v>23</v>
      </c>
      <c r="C35" s="15">
        <v>45504</v>
      </c>
      <c r="D35" s="19">
        <v>7.3650000000000002</v>
      </c>
      <c r="E35" s="19">
        <v>-1.0249999999999999</v>
      </c>
      <c r="F35" s="19">
        <v>-2.04</v>
      </c>
      <c r="G35" s="19">
        <v>0.28499999999999998</v>
      </c>
      <c r="H35" s="19">
        <v>0.875</v>
      </c>
    </row>
    <row r="36" spans="2:8" x14ac:dyDescent="0.35">
      <c r="B36" s="15" t="s">
        <v>24</v>
      </c>
      <c r="C36" s="15">
        <v>45596</v>
      </c>
      <c r="D36" s="19">
        <v>7.4649999999999999</v>
      </c>
      <c r="E36" s="19">
        <v>-1.1399999999999999</v>
      </c>
      <c r="F36" s="19">
        <v>-2.16</v>
      </c>
      <c r="G36" s="19">
        <v>0.32</v>
      </c>
      <c r="H36" s="19">
        <v>1</v>
      </c>
    </row>
    <row r="37" spans="2:8" x14ac:dyDescent="0.35">
      <c r="B37" s="15" t="s">
        <v>25</v>
      </c>
      <c r="C37" s="15">
        <v>45777</v>
      </c>
      <c r="D37" s="19">
        <v>7.7149999999999999</v>
      </c>
      <c r="E37" s="19">
        <v>-1.0720000000000001</v>
      </c>
      <c r="F37" s="19">
        <v>-2.0750000000000002</v>
      </c>
      <c r="G37" s="19">
        <v>0.32</v>
      </c>
      <c r="H37" s="19">
        <v>1.01</v>
      </c>
    </row>
    <row r="38" spans="2:8" x14ac:dyDescent="0.35">
      <c r="B38" s="15" t="s">
        <v>26</v>
      </c>
      <c r="C38" s="15">
        <v>45961</v>
      </c>
      <c r="D38" s="19">
        <v>7.84</v>
      </c>
      <c r="E38" s="19">
        <v>-1.06</v>
      </c>
      <c r="F38" s="19">
        <v>-2.1080000000000001</v>
      </c>
      <c r="G38" s="19">
        <v>0.33</v>
      </c>
      <c r="H38" s="19">
        <v>1.08</v>
      </c>
    </row>
    <row r="39" spans="2:8" x14ac:dyDescent="0.35">
      <c r="B39" s="15" t="s">
        <v>27</v>
      </c>
      <c r="C39" s="15">
        <v>46325</v>
      </c>
      <c r="D39" s="19">
        <v>8.06</v>
      </c>
      <c r="E39" s="19">
        <v>-0.98799999999999999</v>
      </c>
      <c r="F39" s="19">
        <v>-1.9830000000000001</v>
      </c>
      <c r="G39" s="19">
        <v>0.32500000000000001</v>
      </c>
      <c r="H39" s="19">
        <v>1.083</v>
      </c>
    </row>
    <row r="40" spans="2:8" x14ac:dyDescent="0.35">
      <c r="B40" s="15" t="s">
        <v>28</v>
      </c>
      <c r="C40" s="15">
        <v>46689</v>
      </c>
      <c r="D40" s="19">
        <v>8.31</v>
      </c>
      <c r="E40" s="19">
        <v>-0.92</v>
      </c>
      <c r="F40" s="19">
        <v>-1.8280000000000001</v>
      </c>
      <c r="G40" s="19">
        <v>0.32</v>
      </c>
      <c r="H40" s="19">
        <v>1.0680000000000001</v>
      </c>
    </row>
    <row r="41" spans="2:8" x14ac:dyDescent="0.35">
      <c r="B41" s="15" t="s">
        <v>29</v>
      </c>
      <c r="C41" s="15">
        <v>47057</v>
      </c>
      <c r="D41" s="19">
        <v>8.5449999999999999</v>
      </c>
      <c r="E41" s="19">
        <v>-0.85</v>
      </c>
      <c r="F41" s="19">
        <v>-1.7</v>
      </c>
      <c r="G41" s="19">
        <v>0.32500000000000001</v>
      </c>
      <c r="H41" s="19">
        <v>1.0900000000000001</v>
      </c>
    </row>
  </sheetData>
  <mergeCells count="2">
    <mergeCell ref="B9:H9"/>
    <mergeCell ref="B26:H2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E305F-368D-4D41-B77B-8CF897B50522}">
  <sheetPr codeName="Feuil3"/>
  <dimension ref="B1:H61"/>
  <sheetViews>
    <sheetView showGridLines="0" zoomScaleNormal="100" workbookViewId="0"/>
  </sheetViews>
  <sheetFormatPr baseColWidth="10" defaultRowHeight="14.5" x14ac:dyDescent="0.35"/>
  <cols>
    <col min="2" max="2" width="18.6328125" customWidth="1"/>
    <col min="3" max="3" width="11.7265625" customWidth="1"/>
    <col min="4" max="4" width="12.6328125" customWidth="1"/>
    <col min="5" max="5" width="11.453125" customWidth="1"/>
    <col min="21" max="21" width="11.81640625" bestFit="1" customWidth="1"/>
  </cols>
  <sheetData>
    <row r="1" spans="2:8" s="3" customFormat="1" ht="10" x14ac:dyDescent="0.2">
      <c r="B1" s="2"/>
      <c r="G1" s="2"/>
    </row>
    <row r="2" spans="2:8" s="3" customFormat="1" ht="11.25" customHeight="1" x14ac:dyDescent="0.2">
      <c r="B2" s="7" t="s">
        <v>33</v>
      </c>
      <c r="C2" s="4" t="s">
        <v>35</v>
      </c>
      <c r="D2" s="5" t="s">
        <v>34</v>
      </c>
      <c r="E2" s="6" t="s">
        <v>44</v>
      </c>
    </row>
    <row r="3" spans="2:8" s="3" customFormat="1" ht="10" x14ac:dyDescent="0.2">
      <c r="B3" s="2"/>
      <c r="G3" s="2"/>
    </row>
    <row r="5" spans="2:8" x14ac:dyDescent="0.35">
      <c r="B5" s="40" t="s">
        <v>39</v>
      </c>
      <c r="C5" s="40"/>
    </row>
    <row r="6" spans="2:8" x14ac:dyDescent="0.35">
      <c r="B6" s="1" t="s">
        <v>66</v>
      </c>
      <c r="C6" s="4" t="s">
        <v>68</v>
      </c>
    </row>
    <row r="7" spans="2:8" x14ac:dyDescent="0.35">
      <c r="B7" s="1" t="s">
        <v>40</v>
      </c>
      <c r="C7" s="4" t="s">
        <v>70</v>
      </c>
    </row>
    <row r="9" spans="2:8" x14ac:dyDescent="0.35">
      <c r="B9" s="38" t="s">
        <v>74</v>
      </c>
      <c r="C9" s="38"/>
      <c r="D9" s="38"/>
      <c r="E9" s="38"/>
      <c r="F9" s="38"/>
      <c r="G9" s="38"/>
      <c r="H9" s="38"/>
    </row>
    <row r="11" spans="2:8" x14ac:dyDescent="0.35">
      <c r="B11" s="39" t="s">
        <v>43</v>
      </c>
      <c r="C11" s="39"/>
      <c r="D11" s="12" t="s">
        <v>4</v>
      </c>
      <c r="E11" s="12" t="s">
        <v>5</v>
      </c>
      <c r="F11" s="12" t="s">
        <v>6</v>
      </c>
      <c r="G11" s="12" t="s">
        <v>7</v>
      </c>
      <c r="H11" s="12" t="s">
        <v>8</v>
      </c>
    </row>
    <row r="12" spans="2:8" x14ac:dyDescent="0.35">
      <c r="B12" s="12" t="s">
        <v>14</v>
      </c>
      <c r="C12" s="12" t="s">
        <v>37</v>
      </c>
      <c r="D12" s="13">
        <v>-0.1</v>
      </c>
      <c r="E12" s="13">
        <v>-0.25</v>
      </c>
      <c r="F12" s="13" t="s">
        <v>6</v>
      </c>
      <c r="G12" s="13">
        <v>0.25</v>
      </c>
      <c r="H12" s="13">
        <v>0.1</v>
      </c>
    </row>
    <row r="13" spans="2:8" x14ac:dyDescent="0.35">
      <c r="B13" s="15" t="s">
        <v>16</v>
      </c>
      <c r="C13" s="15">
        <v>45237</v>
      </c>
      <c r="D13" s="14" cm="1">
        <f t="array" ref="D13">VolPut10D('Market Data'!D29,'Market Data'!F29,'Market Data'!H29)</f>
        <v>7.6485000000000003</v>
      </c>
      <c r="E13" s="14" cm="1">
        <f t="array" ref="E13">VolPut25D('Market Data'!D29,'Market Data'!E29,'Market Data'!G29)</f>
        <v>7.4550000000000001</v>
      </c>
      <c r="F13" s="14">
        <f>'Market Data'!D29</f>
        <v>7.3150000000000004</v>
      </c>
      <c r="G13" s="14" cm="1">
        <f t="array" ref="G13">VolCall25D('Market Data'!D29,'Market Data'!E29,'Market Data'!G29)</f>
        <v>7.3150000000000004</v>
      </c>
      <c r="H13" s="14" cm="1">
        <f t="array" ref="H13">VolCall10D('Market Data'!D29,'Market Data'!F29,'Market Data'!H29)</f>
        <v>7.4215</v>
      </c>
    </row>
    <row r="14" spans="2:8" x14ac:dyDescent="0.35">
      <c r="B14" s="15" t="s">
        <v>15</v>
      </c>
      <c r="C14" s="15">
        <v>45244</v>
      </c>
      <c r="D14" s="14" cm="1">
        <f t="array" ref="D14">VolPut10D('Market Data'!D30,'Market Data'!F30,'Market Data'!H30)</f>
        <v>7.4109999999999996</v>
      </c>
      <c r="E14" s="14" cm="1">
        <f t="array" ref="E14">VolPut25D('Market Data'!D30,'Market Data'!E30,'Market Data'!G30)</f>
        <v>7.1295000000000002</v>
      </c>
      <c r="F14" s="14">
        <f>'Market Data'!D30</f>
        <v>6.923</v>
      </c>
      <c r="G14" s="14" cm="1">
        <f t="array" ref="G14">VolCall25D('Market Data'!D30,'Market Data'!E30,'Market Data'!G30)</f>
        <v>6.8765000000000001</v>
      </c>
      <c r="H14" s="14" cm="1">
        <f t="array" ref="H14">VolCall10D('Market Data'!D30,'Market Data'!F30,'Market Data'!H30)</f>
        <v>6.9409999999999998</v>
      </c>
    </row>
    <row r="15" spans="2:8" x14ac:dyDescent="0.35">
      <c r="B15" s="15" t="s">
        <v>19</v>
      </c>
      <c r="C15" s="15">
        <v>45251</v>
      </c>
      <c r="D15" s="14" cm="1">
        <f t="array" ref="D15">VolPut10D('Market Data'!D31,'Market Data'!F31,'Market Data'!H31)</f>
        <v>7.4370000000000003</v>
      </c>
      <c r="E15" s="14" cm="1">
        <f t="array" ref="E15">VolPut25D('Market Data'!D31,'Market Data'!E31,'Market Data'!G31)</f>
        <v>7.1144999999999996</v>
      </c>
      <c r="F15" s="14">
        <f>'Market Data'!D31</f>
        <v>6.8719999999999999</v>
      </c>
      <c r="G15" s="14" cm="1">
        <f t="array" ref="G15">VolCall25D('Market Data'!D31,'Market Data'!E31,'Market Data'!G31)</f>
        <v>6.7895000000000003</v>
      </c>
      <c r="H15" s="14" cm="1">
        <f t="array" ref="H15">VolCall10D('Market Data'!D31,'Market Data'!F31,'Market Data'!H31)</f>
        <v>6.827</v>
      </c>
    </row>
    <row r="16" spans="2:8" x14ac:dyDescent="0.35">
      <c r="B16" s="15" t="s">
        <v>20</v>
      </c>
      <c r="C16" s="15">
        <v>45260</v>
      </c>
      <c r="D16" s="14" cm="1">
        <f t="array" ref="D16">VolPut10D('Market Data'!D32,'Market Data'!F32,'Market Data'!H32)</f>
        <v>7.3804999999999996</v>
      </c>
      <c r="E16" s="14" cm="1">
        <f t="array" ref="E16">VolPut25D('Market Data'!D32,'Market Data'!E32,'Market Data'!G32)</f>
        <v>6.9989999999999997</v>
      </c>
      <c r="F16" s="14">
        <f>'Market Data'!D32</f>
        <v>6.7169999999999996</v>
      </c>
      <c r="G16" s="14" cm="1">
        <f t="array" ref="G16">VolCall25D('Market Data'!D32,'Market Data'!E32,'Market Data'!G32)</f>
        <v>6.5989999999999993</v>
      </c>
      <c r="H16" s="14" cm="1">
        <f t="array" ref="H16">VolCall10D('Market Data'!D32,'Market Data'!F32,'Market Data'!H32)</f>
        <v>6.6174999999999997</v>
      </c>
    </row>
    <row r="17" spans="2:8" x14ac:dyDescent="0.35">
      <c r="B17" s="15" t="s">
        <v>21</v>
      </c>
      <c r="C17" s="15">
        <v>45322</v>
      </c>
      <c r="D17" s="14" cm="1">
        <f t="array" ref="D17">VolPut10D('Market Data'!D33,'Market Data'!F33,'Market Data'!H33)</f>
        <v>8.2125000000000004</v>
      </c>
      <c r="E17" s="14" cm="1">
        <f t="array" ref="E17">VolPut25D('Market Data'!D33,'Market Data'!E33,'Market Data'!G33)</f>
        <v>7.5149999999999997</v>
      </c>
      <c r="F17" s="14">
        <f>'Market Data'!D33</f>
        <v>7.0129999999999999</v>
      </c>
      <c r="G17" s="14" cm="1">
        <f t="array" ref="G17">VolCall25D('Market Data'!D33,'Market Data'!E33,'Market Data'!G33)</f>
        <v>6.835</v>
      </c>
      <c r="H17" s="14" cm="1">
        <f t="array" ref="H17">VolCall10D('Market Data'!D33,'Market Data'!F33,'Market Data'!H33)</f>
        <v>6.8774999999999995</v>
      </c>
    </row>
    <row r="18" spans="2:8" x14ac:dyDescent="0.35">
      <c r="B18" s="15" t="s">
        <v>22</v>
      </c>
      <c r="C18" s="15">
        <v>45412</v>
      </c>
      <c r="D18" s="14" cm="1">
        <f t="array" ref="D18">VolPut10D('Market Data'!D34,'Market Data'!F34,'Market Data'!H34)</f>
        <v>8.8874999999999993</v>
      </c>
      <c r="E18" s="14" cm="1">
        <f t="array" ref="E18">VolPut25D('Market Data'!D34,'Market Data'!E34,'Market Data'!G34)</f>
        <v>7.9399999999999995</v>
      </c>
      <c r="F18" s="14">
        <f>'Market Data'!D34</f>
        <v>7.2649999999999997</v>
      </c>
      <c r="G18" s="14" cm="1">
        <f t="array" ref="G18">VolCall25D('Market Data'!D34,'Market Data'!E34,'Market Data'!G34)</f>
        <v>7.0299999999999994</v>
      </c>
      <c r="H18" s="14" cm="1">
        <f t="array" ref="H18">VolCall10D('Market Data'!D34,'Market Data'!F34,'Market Data'!H34)</f>
        <v>7.0924999999999994</v>
      </c>
    </row>
    <row r="19" spans="2:8" x14ac:dyDescent="0.35">
      <c r="B19" s="15" t="s">
        <v>23</v>
      </c>
      <c r="C19" s="15">
        <v>45504</v>
      </c>
      <c r="D19" s="14" cm="1">
        <f t="array" ref="D19">VolPut10D('Market Data'!D35,'Market Data'!F35,'Market Data'!H35)</f>
        <v>9.26</v>
      </c>
      <c r="E19" s="14" cm="1">
        <f t="array" ref="E19">VolPut25D('Market Data'!D35,'Market Data'!E35,'Market Data'!G35)</f>
        <v>8.1624999999999996</v>
      </c>
      <c r="F19" s="14">
        <f>'Market Data'!D35</f>
        <v>7.3650000000000002</v>
      </c>
      <c r="G19" s="14" cm="1">
        <f t="array" ref="G19">VolCall25D('Market Data'!D35,'Market Data'!E35,'Market Data'!G35)</f>
        <v>7.1375000000000002</v>
      </c>
      <c r="H19" s="14" cm="1">
        <f t="array" ref="H19">VolCall10D('Market Data'!D35,'Market Data'!F35,'Market Data'!H35)</f>
        <v>7.2200000000000006</v>
      </c>
    </row>
    <row r="20" spans="2:8" x14ac:dyDescent="0.35">
      <c r="B20" s="15" t="s">
        <v>24</v>
      </c>
      <c r="C20" s="15">
        <v>45596</v>
      </c>
      <c r="D20" s="14" cm="1">
        <f t="array" ref="D20">VolPut10D('Market Data'!D36,'Market Data'!F36,'Market Data'!H36)</f>
        <v>9.5449999999999999</v>
      </c>
      <c r="E20" s="14" cm="1">
        <f t="array" ref="E20">VolPut25D('Market Data'!D36,'Market Data'!E36,'Market Data'!G36)</f>
        <v>8.3550000000000004</v>
      </c>
      <c r="F20" s="14">
        <f>'Market Data'!D36</f>
        <v>7.4649999999999999</v>
      </c>
      <c r="G20" s="14" cm="1">
        <f t="array" ref="G20">VolCall25D('Market Data'!D36,'Market Data'!E36,'Market Data'!G36)</f>
        <v>7.2149999999999999</v>
      </c>
      <c r="H20" s="14" cm="1">
        <f t="array" ref="H20">VolCall10D('Market Data'!D36,'Market Data'!F36,'Market Data'!H36)</f>
        <v>7.3849999999999998</v>
      </c>
    </row>
    <row r="21" spans="2:8" x14ac:dyDescent="0.35">
      <c r="B21" s="15" t="s">
        <v>25</v>
      </c>
      <c r="C21" s="15">
        <v>45777</v>
      </c>
      <c r="D21" s="14" cm="1">
        <f t="array" ref="D21">VolPut10D('Market Data'!D37,'Market Data'!F37,'Market Data'!H37)</f>
        <v>9.7624999999999993</v>
      </c>
      <c r="E21" s="14" cm="1">
        <f t="array" ref="E21">VolPut25D('Market Data'!D37,'Market Data'!E37,'Market Data'!G37)</f>
        <v>8.5709999999999997</v>
      </c>
      <c r="F21" s="14">
        <f>'Market Data'!D37</f>
        <v>7.7149999999999999</v>
      </c>
      <c r="G21" s="14" cm="1">
        <f t="array" ref="G21">VolCall25D('Market Data'!D37,'Market Data'!E37,'Market Data'!G37)</f>
        <v>7.4989999999999997</v>
      </c>
      <c r="H21" s="14" cm="1">
        <f t="array" ref="H21">VolCall10D('Market Data'!D37,'Market Data'!F37,'Market Data'!H37)</f>
        <v>7.6875</v>
      </c>
    </row>
    <row r="22" spans="2:8" x14ac:dyDescent="0.35">
      <c r="B22" s="15" t="s">
        <v>26</v>
      </c>
      <c r="C22" s="15">
        <v>45961</v>
      </c>
      <c r="D22" s="14" cm="1">
        <f t="array" ref="D22">VolPut10D('Market Data'!D38,'Market Data'!F38,'Market Data'!H38)</f>
        <v>9.9740000000000002</v>
      </c>
      <c r="E22" s="14" cm="1">
        <f t="array" ref="E22">VolPut25D('Market Data'!D38,'Market Data'!E38,'Market Data'!G38)</f>
        <v>8.6999999999999993</v>
      </c>
      <c r="F22" s="14">
        <f>'Market Data'!D38</f>
        <v>7.84</v>
      </c>
      <c r="G22" s="14" cm="1">
        <f t="array" ref="G22">VolCall25D('Market Data'!D38,'Market Data'!E38,'Market Data'!G38)</f>
        <v>7.64</v>
      </c>
      <c r="H22" s="14" cm="1">
        <f t="array" ref="H22">VolCall10D('Market Data'!D38,'Market Data'!F38,'Market Data'!H38)</f>
        <v>7.8659999999999997</v>
      </c>
    </row>
    <row r="23" spans="2:8" x14ac:dyDescent="0.35">
      <c r="B23" s="15" t="s">
        <v>27</v>
      </c>
      <c r="C23" s="15">
        <v>46325</v>
      </c>
      <c r="D23" s="14" cm="1">
        <f t="array" ref="D23">VolPut10D('Market Data'!D39,'Market Data'!F39,'Market Data'!H39)</f>
        <v>10.134500000000001</v>
      </c>
      <c r="E23" s="14" cm="1">
        <f t="array" ref="E23">VolPut25D('Market Data'!D39,'Market Data'!E39,'Market Data'!G39)</f>
        <v>8.8790000000000013</v>
      </c>
      <c r="F23" s="14">
        <f>'Market Data'!D39</f>
        <v>8.06</v>
      </c>
      <c r="G23" s="14" cm="1">
        <f t="array" ref="G23">VolCall25D('Market Data'!D39,'Market Data'!E39,'Market Data'!G39)</f>
        <v>7.8910000000000009</v>
      </c>
      <c r="H23" s="14" cm="1">
        <f t="array" ref="H23">VolCall10D('Market Data'!D39,'Market Data'!F39,'Market Data'!H39)</f>
        <v>8.1515000000000004</v>
      </c>
    </row>
    <row r="24" spans="2:8" x14ac:dyDescent="0.35">
      <c r="B24" s="15" t="s">
        <v>28</v>
      </c>
      <c r="C24" s="15">
        <v>46689</v>
      </c>
      <c r="D24" s="14" cm="1">
        <f t="array" ref="D24">VolPut10D('Market Data'!D40,'Market Data'!F40,'Market Data'!H40)</f>
        <v>10.292</v>
      </c>
      <c r="E24" s="14" cm="1">
        <f t="array" ref="E24">VolPut25D('Market Data'!D40,'Market Data'!E40,'Market Data'!G40)</f>
        <v>9.09</v>
      </c>
      <c r="F24" s="14">
        <f>'Market Data'!D40</f>
        <v>8.31</v>
      </c>
      <c r="G24" s="14" cm="1">
        <f t="array" ref="G24">VolCall25D('Market Data'!D40,'Market Data'!E40,'Market Data'!G40)</f>
        <v>8.17</v>
      </c>
      <c r="H24" s="14" cm="1">
        <f t="array" ref="H24">VolCall10D('Market Data'!D40,'Market Data'!F40,'Market Data'!H40)</f>
        <v>8.4640000000000004</v>
      </c>
    </row>
    <row r="25" spans="2:8" x14ac:dyDescent="0.35">
      <c r="B25" s="15" t="s">
        <v>29</v>
      </c>
      <c r="C25" s="15">
        <v>47057</v>
      </c>
      <c r="D25" s="14" cm="1">
        <f t="array" ref="D25">VolPut10D('Market Data'!D41,'Market Data'!F41,'Market Data'!H41)</f>
        <v>10.484999999999999</v>
      </c>
      <c r="E25" s="14" cm="1">
        <f t="array" ref="E25">VolPut25D('Market Data'!D41,'Market Data'!E41,'Market Data'!G41)</f>
        <v>9.2949999999999999</v>
      </c>
      <c r="F25" s="14">
        <f>'Market Data'!D41</f>
        <v>8.5449999999999999</v>
      </c>
      <c r="G25" s="14" cm="1">
        <f t="array" ref="G25">VolCall25D('Market Data'!D41,'Market Data'!E41,'Market Data'!G41)</f>
        <v>8.4450000000000003</v>
      </c>
      <c r="H25" s="14" cm="1">
        <f t="array" ref="H25">VolCall10D('Market Data'!D41,'Market Data'!F41,'Market Data'!H41)</f>
        <v>8.7850000000000001</v>
      </c>
    </row>
    <row r="27" spans="2:8" x14ac:dyDescent="0.35">
      <c r="B27" s="38" t="s">
        <v>72</v>
      </c>
      <c r="C27" s="38"/>
      <c r="D27" s="38"/>
      <c r="E27" s="38"/>
      <c r="F27" s="38"/>
      <c r="G27" s="38"/>
      <c r="H27" s="38"/>
    </row>
    <row r="29" spans="2:8" x14ac:dyDescent="0.35">
      <c r="B29" s="39" t="s">
        <v>10</v>
      </c>
      <c r="C29" s="39"/>
      <c r="D29" s="12" t="s">
        <v>4</v>
      </c>
      <c r="E29" s="12" t="s">
        <v>5</v>
      </c>
      <c r="F29" s="12" t="s">
        <v>6</v>
      </c>
      <c r="G29" s="12" t="s">
        <v>7</v>
      </c>
      <c r="H29" s="12" t="s">
        <v>8</v>
      </c>
    </row>
    <row r="30" spans="2:8" x14ac:dyDescent="0.35">
      <c r="B30" s="12" t="s">
        <v>14</v>
      </c>
      <c r="C30" s="12" t="s">
        <v>37</v>
      </c>
      <c r="D30" s="13">
        <v>-0.1</v>
      </c>
      <c r="E30" s="13">
        <v>-0.25</v>
      </c>
      <c r="F30" s="13" t="s">
        <v>6</v>
      </c>
      <c r="G30" s="13">
        <v>0.25</v>
      </c>
      <c r="H30" s="13">
        <v>0.1</v>
      </c>
    </row>
    <row r="31" spans="2:8" x14ac:dyDescent="0.35">
      <c r="B31" s="15" t="s">
        <v>16</v>
      </c>
      <c r="C31" s="15">
        <v>45237</v>
      </c>
      <c r="D31" s="14" cm="1">
        <f t="array" ref="D31">ScaleConversion(D$30, ((D13 / 100)^2) * ($C31-Today) / 365, 'Market Data'!$H12, 'Market Data'!$E12, "Put", IF(DeltaConvention="Included", "PremIncl", "PremNonIncl"))</f>
        <v>1.0387271137261684</v>
      </c>
      <c r="E31" s="14" cm="1">
        <f t="array" ref="E31">ScaleConversion(E$30, ((E13 / 100)^2) * ($C31-Today) / 365, 'Market Data'!$H12, 'Market Data'!$E12, "Put", IF(DeltaConvention="Included", "PremIncl", "PremNonIncl"))</f>
        <v>1.0473374583719499</v>
      </c>
      <c r="F31" s="14" cm="1">
        <f t="array" ref="F31">ATMStrike('Market Data'!E12,F13,(C31-Today),ATMConvention,DeltaConvention)</f>
        <v>1.0564148174809969</v>
      </c>
      <c r="G31" s="14" cm="1">
        <f t="array" ref="G31">ScaleConversion(G$30, ((G13 / 100)^2) * ($C31-Today) / 365, 'Market Data'!$H12, 'Market Data'!$E12, "Call", IF(DeltaConvention="Included", "PremIncl", "PremNonIncl"))</f>
        <v>1.0655788441396237</v>
      </c>
      <c r="H31" s="14" cm="1">
        <f t="array" ref="H31">ScaleConversion(H$30, ((H13 / 100)^2) * ($C31-Today) / 365, 'Market Data'!$H12, 'Market Data'!$E12, "Call", IF(DeltaConvention="Included", "PremIncl", "PremNonIncl"))</f>
        <v>1.0741193388506254</v>
      </c>
    </row>
    <row r="32" spans="2:8" x14ac:dyDescent="0.35">
      <c r="B32" s="15" t="s">
        <v>15</v>
      </c>
      <c r="C32" s="15">
        <v>45244</v>
      </c>
      <c r="D32" s="14" cm="1">
        <f t="array" ref="D32">ScaleConversion(D$30, ((D14 / 100)^2) * ($C32-Today) / 365, 'Market Data'!$H13, 'Market Data'!$E13, "Put", IF(DeltaConvention="Included", "PremIncl", "PremNonIncl"))</f>
        <v>1.0348239870220344</v>
      </c>
      <c r="E32" s="14" cm="1">
        <f t="array" ref="E32">ScaleConversion(E$30, ((E14 / 100)^2) * ($C32-Today) / 365, 'Market Data'!$H13, 'Market Data'!$E13, "Put", IF(DeltaConvention="Included", "PremIncl", "PremNonIncl"))</f>
        <v>1.0456050227407296</v>
      </c>
      <c r="F32" s="14" cm="1">
        <f t="array" ref="F32">ATMStrike('Market Data'!E13,F14,(C32-Today),ATMConvention,DeltaConvention)</f>
        <v>1.0566701169789623</v>
      </c>
      <c r="G32" s="14" cm="1">
        <f t="array" ref="G32">ScaleConversion(G$30, ((G14 / 100)^2) * ($C32-Today) / 365, 'Market Data'!$H13, 'Market Data'!$E13, "Call", IF(DeltaConvention="Included", "PremIncl", "PremNonIncl"))</f>
        <v>1.0677164809637552</v>
      </c>
      <c r="H32" s="14" cm="1">
        <f t="array" ref="H32">ScaleConversion(H$30, ((H14 / 100)^2) * ($C32-Today) / 365, 'Market Data'!$H13, 'Market Data'!$E13, "Call", IF(DeltaConvention="Included", "PremIncl", "PremNonIncl"))</f>
        <v>1.0779172502204195</v>
      </c>
    </row>
    <row r="33" spans="2:8" x14ac:dyDescent="0.35">
      <c r="B33" s="15" t="s">
        <v>19</v>
      </c>
      <c r="C33" s="15">
        <v>45251</v>
      </c>
      <c r="D33" s="14" cm="1">
        <f t="array" ref="D33">ScaleConversion(D$30, ((D15 / 100)^2) * ($C33-Today) / 365, 'Market Data'!$H14, 'Market Data'!$E14, "Put", IF(DeltaConvention="Included", "PremIncl", "PremNonIncl"))</f>
        <v>1.0311718819890976</v>
      </c>
      <c r="E33" s="14" cm="1">
        <f t="array" ref="E33">ScaleConversion(E$30, ((E15 / 100)^2) * ($C33-Today) / 365, 'Market Data'!$H14, 'Market Data'!$E14, "Put", IF(DeltaConvention="Included", "PremIncl", "PremNonIncl"))</f>
        <v>1.0439530258817535</v>
      </c>
      <c r="F33" s="14" cm="1">
        <f t="array" ref="F33">ATMStrike('Market Data'!E14,F15,(C33-Today),ATMConvention,DeltaConvention)</f>
        <v>1.0569200533055754</v>
      </c>
      <c r="G33" s="14" cm="1">
        <f t="array" ref="G33">ScaleConversion(G$30, ((G15 / 100)^2) * ($C33-Today) / 365, 'Market Data'!$H14, 'Market Data'!$E14, "Call", IF(DeltaConvention="Included", "PremIncl", "PremNonIncl"))</f>
        <v>1.0698034534841723</v>
      </c>
      <c r="H33" s="14" cm="1">
        <f t="array" ref="H33">ScaleConversion(H$30, ((H15 / 100)^2) * ($C33-Today) / 365, 'Market Data'!$H14, 'Market Data'!$E14, "Call", IF(DeltaConvention="Included", "PremIncl", "PremNonIncl"))</f>
        <v>1.0816231267741132</v>
      </c>
    </row>
    <row r="34" spans="2:8" x14ac:dyDescent="0.35">
      <c r="B34" s="15" t="s">
        <v>20</v>
      </c>
      <c r="C34" s="15">
        <v>45260</v>
      </c>
      <c r="D34" s="14" cm="1">
        <f t="array" ref="D34">ScaleConversion(D$30, ((D16 / 100)^2) * ($C34-Today) / 365, 'Market Data'!$H15, 'Market Data'!$E15, "Put", IF(DeltaConvention="Included", "PremIncl", "PremNonIncl"))</f>
        <v>1.0275553674471891</v>
      </c>
      <c r="E34" s="14" cm="1">
        <f t="array" ref="E34">ScaleConversion(E$30, ((E16 / 100)^2) * ($C34-Today) / 365, 'Market Data'!$H15, 'Market Data'!$E15, "Put", IF(DeltaConvention="Included", "PremIncl", "PremNonIncl"))</f>
        <v>1.0424304883813544</v>
      </c>
      <c r="F34" s="14" cm="1">
        <f t="array" ref="F34">ATMStrike('Market Data'!E15,F16,(C34-Today),ATMConvention,DeltaConvention)</f>
        <v>1.0572538063502102</v>
      </c>
      <c r="G34" s="14" cm="1">
        <f t="array" ref="G34">ScaleConversion(G$30, ((G16 / 100)^2) * ($C34-Today) / 365, 'Market Data'!$H15, 'Market Data'!$E15, "Call", IF(DeltaConvention="Included", "PremIncl", "PremNonIncl"))</f>
        <v>1.0718867138970278</v>
      </c>
      <c r="H34" s="14" cm="1">
        <f t="array" ref="H34">ScaleConversion(H$30, ((H16 / 100)^2) * ($C34-Today) / 365, 'Market Data'!$H15, 'Market Data'!$E15, "Call", IF(DeltaConvention="Included", "PremIncl", "PremNonIncl"))</f>
        <v>1.0852585856819659</v>
      </c>
    </row>
    <row r="35" spans="2:8" x14ac:dyDescent="0.35">
      <c r="B35" s="15" t="s">
        <v>21</v>
      </c>
      <c r="C35" s="15">
        <v>45322</v>
      </c>
      <c r="D35" s="14" cm="1">
        <f t="array" ref="D35">ScaleConversion(D$30, ((D17 / 100)^2) * ($C35-Today) / 365, 'Market Data'!$H16, 'Market Data'!$E16, "Put", IF(DeltaConvention="Included", "PremIncl", "PremNonIncl"))</f>
        <v>1.0056869820515419</v>
      </c>
      <c r="E35" s="14" cm="1">
        <f t="array" ref="E35">ScaleConversion(E$30, ((E17 / 100)^2) * ($C35-Today) / 365, 'Market Data'!$H16, 'Market Data'!$E16, "Put", IF(DeltaConvention="Included", "PremIncl", "PremNonIncl"))</f>
        <v>1.0339153961706433</v>
      </c>
      <c r="F35" s="14" cm="1">
        <f t="array" ref="F35">ATMStrike('Market Data'!E16,F17,(C35-Today),ATMConvention,DeltaConvention)</f>
        <v>1.0600901339638964</v>
      </c>
      <c r="G35" s="14" cm="1">
        <f t="array" ref="G35">ScaleConversion(G$30, ((G17 / 100)^2) * ($C35-Today) / 365, 'Market Data'!$H16, 'Market Data'!$E16, "Call", IF(DeltaConvention="Included", "PremIncl", "PremNonIncl"))</f>
        <v>1.085887441704579</v>
      </c>
      <c r="H35" s="14" cm="1">
        <f t="array" ref="H35">ScaleConversion(H$30, ((H17 / 100)^2) * ($C35-Today) / 365, 'Market Data'!$H16, 'Market Data'!$E16, "Call", IF(DeltaConvention="Included", "PremIncl", "PremNonIncl"))</f>
        <v>1.1099181407419685</v>
      </c>
    </row>
    <row r="36" spans="2:8" x14ac:dyDescent="0.35">
      <c r="B36" s="15" t="s">
        <v>22</v>
      </c>
      <c r="C36" s="15">
        <v>45412</v>
      </c>
      <c r="D36" s="14" cm="1">
        <f t="array" ref="D36">ScaleConversion(D$30, ((D18 / 100)^2) * ($C36-Today) / 365, 'Market Data'!$H17, 'Market Data'!$E17, "Put", IF(DeltaConvention="Included", "PremIncl", "PremNonIncl"))</f>
        <v>0.98363783932350157</v>
      </c>
      <c r="E36" s="14" cm="1">
        <f t="array" ref="E36">ScaleConversion(E$30, ((E18 / 100)^2) * ($C36-Today) / 365, 'Market Data'!$H17, 'Market Data'!$E17, "Put", IF(DeltaConvention="Included", "PremIncl", "PremNonIncl"))</f>
        <v>1.0262554189281181</v>
      </c>
      <c r="F36" s="14" cm="1">
        <f t="array" ref="F36">ATMStrike('Market Data'!E17,F18,(C36-Today),ATMConvention,DeltaConvention)</f>
        <v>1.0637934362835664</v>
      </c>
      <c r="G36" s="14" cm="1">
        <f t="array" ref="G36">ScaleConversion(G$30, ((G18 / 100)^2) * ($C36-Today) / 365, 'Market Data'!$H17, 'Market Data'!$E17, "Call", IF(DeltaConvention="Included", "PremIncl", "PremNonIncl"))</f>
        <v>1.1011010922699662</v>
      </c>
      <c r="H36" s="14" cm="1">
        <f t="array" ref="H36">ScaleConversion(H$30, ((H18 / 100)^2) * ($C36-Today) / 365, 'Market Data'!$H17, 'Market Data'!$E17, "Call", IF(DeltaConvention="Included", "PremIncl", "PremNonIncl"))</f>
        <v>1.1366562196102272</v>
      </c>
    </row>
    <row r="37" spans="2:8" x14ac:dyDescent="0.35">
      <c r="B37" s="15" t="s">
        <v>23</v>
      </c>
      <c r="C37" s="15">
        <v>45504</v>
      </c>
      <c r="D37" s="14" cm="1">
        <f t="array" ref="D37">ScaleConversion(D$30, ((D19 / 100)^2) * ($C37-Today) / 365, 'Market Data'!$H18, 'Market Data'!$E18, "Put", IF(DeltaConvention="Included", "PremIncl", "PremNonIncl"))</f>
        <v>0.96740011426588202</v>
      </c>
      <c r="E37" s="14" cm="1">
        <f t="array" ref="E37">ScaleConversion(E$30, ((E19 / 100)^2) * ($C37-Today) / 365, 'Market Data'!$H18, 'Market Data'!$E18, "Put", IF(DeltaConvention="Included", "PremIncl", "PremNonIncl"))</f>
        <v>1.021544761986374</v>
      </c>
      <c r="F37" s="14" cm="1">
        <f t="array" ref="F37">ATMStrike('Market Data'!E18,F19,(C37-Today),ATMConvention,DeltaConvention)</f>
        <v>1.06774807217514</v>
      </c>
      <c r="G37" s="14" cm="1">
        <f t="array" ref="G37">ScaleConversion(G$30, ((G19 / 100)^2) * ($C37-Today) / 365, 'Market Data'!$H18, 'Market Data'!$E18, "Call", IF(DeltaConvention="Included", "PremIncl", "PremNonIncl"))</f>
        <v>1.1143516072233903</v>
      </c>
      <c r="H37" s="14" cm="1">
        <f t="array" ref="H37">ScaleConversion(H$30, ((H19 / 100)^2) * ($C37-Today) / 365, 'Market Data'!$H18, 'Market Data'!$E18, "Call", IF(DeltaConvention="Included", "PremIncl", "PremNonIncl"))</f>
        <v>1.1597822701163318</v>
      </c>
    </row>
    <row r="38" spans="2:8" x14ac:dyDescent="0.35">
      <c r="B38" s="15" t="s">
        <v>24</v>
      </c>
      <c r="C38" s="15">
        <v>45596</v>
      </c>
      <c r="D38" s="14" cm="1">
        <f t="array" ref="D38">ScaleConversion(D$30, ((D20 / 100)^2) * ($C38-Today) / 365, 'Market Data'!$H19, 'Market Data'!$E19, "Put", IF(DeltaConvention="Included", "PremIncl", "PremNonIncl"))</f>
        <v>0.95411740147775836</v>
      </c>
      <c r="E38" s="14" cm="1">
        <f t="array" ref="E38">ScaleConversion(E$30, ((E20 / 100)^2) * ($C38-Today) / 365, 'Market Data'!$H19, 'Market Data'!$E19, "Put", IF(DeltaConvention="Included", "PremIncl", "PremNonIncl"))</f>
        <v>1.0181316420932103</v>
      </c>
      <c r="F38" s="14" cm="1">
        <f t="array" ref="F38">ATMStrike('Market Data'!E19,F20,(C38-Today),ATMConvention,DeltaConvention)</f>
        <v>1.0716757944877393</v>
      </c>
      <c r="G38" s="14" cm="1">
        <f t="array" ref="G38">ScaleConversion(G$30, ((G20 / 100)^2) * ($C38-Today) / 365, 'Market Data'!$H19, 'Market Data'!$E19, "Call", IF(DeltaConvention="Included", "PremIncl", "PremNonIncl"))</f>
        <v>1.1263029999253258</v>
      </c>
      <c r="H38" s="14" cm="1">
        <f t="array" ref="H38">ScaleConversion(H$30, ((H20 / 100)^2) * ($C38-Today) / 365, 'Market Data'!$H19, 'Market Data'!$E19, "Call", IF(DeltaConvention="Included", "PremIncl", "PremNonIncl"))</f>
        <v>1.1817382916365142</v>
      </c>
    </row>
    <row r="39" spans="2:8" x14ac:dyDescent="0.35">
      <c r="B39" s="15" t="s">
        <v>25</v>
      </c>
      <c r="C39" s="15">
        <v>45777</v>
      </c>
      <c r="D39" s="14" cm="1">
        <f t="array" ref="D39">ScaleConversion(D$30, ((D21 / 100)^2) * ($C39-Today) / 365, 'Market Data'!$H20, 'Market Data'!$E20, "Put", IF(DeltaConvention="Included", "PremIncl", "PremNonIncl"))</f>
        <v>0.93627389656263316</v>
      </c>
      <c r="E39" s="14" cm="1">
        <f t="array" ref="E39">ScaleConversion(E$30, ((E21 / 100)^2) * ($C39-Today) / 365, 'Market Data'!$H20, 'Market Data'!$E20, "Put", IF(DeltaConvention="Included", "PremIncl", "PremNonIncl"))</f>
        <v>1.0147310527143194</v>
      </c>
      <c r="F39" s="14" cm="1">
        <f t="array" ref="F39">ATMStrike('Market Data'!E20,F21,(C39-Today),ATMConvention,DeltaConvention)</f>
        <v>1.0795450929730861</v>
      </c>
      <c r="G39" s="14" cm="1">
        <f t="array" ref="G39">ScaleConversion(G$30, ((G21 / 100)^2) * ($C39-Today) / 365, 'Market Data'!$H20, 'Market Data'!$E20, "Call", IF(DeltaConvention="Included", "PremIncl", "PremNonIncl"))</f>
        <v>1.149506619608164</v>
      </c>
      <c r="H39" s="14" cm="1">
        <f t="array" ref="H39">ScaleConversion(H$30, ((H21 / 100)^2) * ($C39-Today) / 365, 'Market Data'!$H20, 'Market Data'!$E20, "Call", IF(DeltaConvention="Included", "PremIncl", "PremNonIncl"))</f>
        <v>1.222885149704108</v>
      </c>
    </row>
    <row r="40" spans="2:8" x14ac:dyDescent="0.35">
      <c r="B40" s="15" t="s">
        <v>26</v>
      </c>
      <c r="C40" s="15">
        <v>45961</v>
      </c>
      <c r="D40" s="14" cm="1">
        <f t="array" ref="D40">ScaleConversion(D$30, ((D22 / 100)^2) * ($C40-Today) / 365, 'Market Data'!$H21, 'Market Data'!$E21, "Put", IF(DeltaConvention="Included", "PremIncl", "PremNonIncl"))</f>
        <v>0.9211892253907239</v>
      </c>
      <c r="E40" s="14" cm="1">
        <f t="array" ref="E40">ScaleConversion(E$30, ((E22 / 100)^2) * ($C40-Today) / 365, 'Market Data'!$H21, 'Market Data'!$E21, "Put", IF(DeltaConvention="Included", "PremIncl", "PremNonIncl"))</f>
        <v>1.0130506466436178</v>
      </c>
      <c r="F40" s="14" cm="1">
        <f t="array" ref="F40">ATMStrike('Market Data'!E21,F22,(C40-Today),ATMConvention,DeltaConvention)</f>
        <v>1.0867565792069751</v>
      </c>
      <c r="G40" s="14" cm="1">
        <f t="array" ref="G40">ScaleConversion(G$30, ((G22 / 100)^2) * ($C40-Today) / 365, 'Market Data'!$H21, 'Market Data'!$E21, "Call", IF(DeltaConvention="Included", "PremIncl", "PremNonIncl"))</f>
        <v>1.1695506697437246</v>
      </c>
      <c r="H40" s="14" cm="1">
        <f t="array" ref="H40">ScaleConversion(H$30, ((H22 / 100)^2) * ($C40-Today) / 365, 'Market Data'!$H21, 'Market Data'!$E21, "Call", IF(DeltaConvention="Included", "PremIncl", "PremNonIncl"))</f>
        <v>1.2596977777388918</v>
      </c>
    </row>
    <row r="41" spans="2:8" x14ac:dyDescent="0.35">
      <c r="B41" s="15" t="s">
        <v>27</v>
      </c>
      <c r="C41" s="15">
        <v>46325</v>
      </c>
      <c r="D41" s="14" cm="1">
        <f t="array" ref="D41">ScaleConversion(D$30, ((D23 / 100)^2) * ($C41-Today) / 365, 'Market Data'!$H22, 'Market Data'!$E22, "Put", IF(DeltaConvention="Included", "PremIncl", "PremNonIncl"))</f>
        <v>0.90224327632283374</v>
      </c>
      <c r="E41" s="14" cm="1">
        <f t="array" ref="E41">ScaleConversion(E$30, ((E23 / 100)^2) * ($C41-Today) / 365, 'Market Data'!$H22, 'Market Data'!$E22, "Put", IF(DeltaConvention="Included", "PremIncl", "PremNonIncl"))</f>
        <v>1.0142367157107188</v>
      </c>
      <c r="F41" s="14" cm="1">
        <f t="array" ref="F41">ATMStrike('Market Data'!E22,F23,(C41-Today),ATMConvention,DeltaConvention)</f>
        <v>1.1009928123667985</v>
      </c>
      <c r="G41" s="14" cm="1">
        <f t="array" ref="G41">ScaleConversion(G$30, ((G23 / 100)^2) * ($C41-Today) / 365, 'Market Data'!$H22, 'Market Data'!$E22, "Call", IF(DeltaConvention="Included", "PremIncl", "PremNonIncl"))</f>
        <v>1.2060269914277233</v>
      </c>
      <c r="H41" s="14" cm="1">
        <f t="array" ref="H41">ScaleConversion(H$30, ((H23 / 100)^2) * ($C41-Today) / 365, 'Market Data'!$H22, 'Market Data'!$E22, "Call", IF(DeltaConvention="Included", "PremIncl", "PremNonIncl"))</f>
        <v>1.3280806724467085</v>
      </c>
    </row>
    <row r="42" spans="2:8" x14ac:dyDescent="0.35">
      <c r="B42" s="15" t="s">
        <v>28</v>
      </c>
      <c r="C42" s="15">
        <v>46689</v>
      </c>
      <c r="D42" s="14" cm="1">
        <f t="array" ref="D42">ScaleConversion(D$30, ((D24 / 100)^2) * ($C42-Today) / 365, 'Market Data'!$H23, 'Market Data'!$E23, "Put", IF(DeltaConvention="Included", "PremIncl", "PremNonIncl"))</f>
        <v>0.88891457774171245</v>
      </c>
      <c r="E42" s="14" cm="1">
        <f t="array" ref="E42">ScaleConversion(E$30, ((E24 / 100)^2) * ($C42-Today) / 365, 'Market Data'!$H23, 'Market Data'!$E23, "Put", IF(DeltaConvention="Included", "PremIncl", "PremNonIncl"))</f>
        <v>1.0181136688143511</v>
      </c>
      <c r="F42" s="14" cm="1">
        <f t="array" ref="F42">ATMStrike('Market Data'!E23,F24,(C42-Today),ATMConvention,DeltaConvention)</f>
        <v>1.1140991264765017</v>
      </c>
      <c r="G42" s="14" cm="1">
        <f t="array" ref="G42">ScaleConversion(G$30, ((G24 / 100)^2) * ($C42-Today) / 365, 'Market Data'!$H23, 'Market Data'!$E23, "Call", IF(DeltaConvention="Included", "PremIncl", "PremNonIncl"))</f>
        <v>1.2386879248452121</v>
      </c>
      <c r="H42" s="14" cm="1">
        <f t="array" ref="H42">ScaleConversion(H$30, ((H24 / 100)^2) * ($C42-Today) / 365, 'Market Data'!$H23, 'Market Data'!$E23, "Call", IF(DeltaConvention="Included", "PremIncl", "PremNonIncl"))</f>
        <v>1.3944316495480555</v>
      </c>
    </row>
    <row r="43" spans="2:8" x14ac:dyDescent="0.35">
      <c r="B43" s="15" t="s">
        <v>29</v>
      </c>
      <c r="C43" s="15">
        <v>47057</v>
      </c>
      <c r="D43" s="14" cm="1">
        <f t="array" ref="D43">ScaleConversion(D$30, ((D25 / 100)^2) * ($C43-Today) / 365, 'Market Data'!$H24, 'Market Data'!$E24, "Put", IF(DeltaConvention="Included", "PremIncl", "PremNonIncl"))</f>
        <v>0.87938412560215284</v>
      </c>
      <c r="E43" s="14" cm="1">
        <f t="array" ref="E43">ScaleConversion(E$30, ((E25 / 100)^2) * ($C43-Today) / 365, 'Market Data'!$H24, 'Market Data'!$E24, "Put", IF(DeltaConvention="Included", "PremIncl", "PremNonIncl"))</f>
        <v>1.0255783763953401</v>
      </c>
      <c r="F43" s="14" cm="1">
        <f t="array" ref="F43">ATMStrike('Market Data'!E24,F25,(C43-Today),ATMConvention,DeltaConvention)</f>
        <v>1.1276309907584705</v>
      </c>
      <c r="G43" s="14" cm="1">
        <f t="array" ref="G43">ScaleConversion(G$30, ((G25 / 100)^2) * ($C43-Today) / 365, 'Market Data'!$H24, 'Market Data'!$E24, "Call", IF(DeltaConvention="Included", "PremIncl", "PremNonIncl"))</f>
        <v>1.2690889498892108</v>
      </c>
      <c r="H43" s="14" cm="1">
        <f t="array" ref="H43">ScaleConversion(H$30, ((H25 / 100)^2) * ($C43-Today) / 365, 'Market Data'!$H24, 'Market Data'!$E24, "Call", IF(DeltaConvention="Included", "PremIncl", "PremNonIncl"))</f>
        <v>1.4618711399888951</v>
      </c>
    </row>
    <row r="45" spans="2:8" x14ac:dyDescent="0.35">
      <c r="B45" s="38" t="s">
        <v>47</v>
      </c>
      <c r="C45" s="38"/>
      <c r="D45" s="38"/>
      <c r="E45" s="38"/>
      <c r="F45" s="38"/>
      <c r="G45" s="38"/>
      <c r="H45" s="38"/>
    </row>
    <row r="47" spans="2:8" x14ac:dyDescent="0.35">
      <c r="B47" s="39" t="s">
        <v>69</v>
      </c>
      <c r="C47" s="39"/>
      <c r="D47" s="12" t="s">
        <v>4</v>
      </c>
      <c r="E47" s="12" t="s">
        <v>5</v>
      </c>
      <c r="F47" s="12" t="s">
        <v>6</v>
      </c>
      <c r="G47" s="12" t="s">
        <v>7</v>
      </c>
      <c r="H47" s="12" t="s">
        <v>8</v>
      </c>
    </row>
    <row r="48" spans="2:8" x14ac:dyDescent="0.35">
      <c r="B48" s="12" t="s">
        <v>14</v>
      </c>
      <c r="C48" s="12" t="s">
        <v>37</v>
      </c>
      <c r="D48" s="13">
        <v>-0.1</v>
      </c>
      <c r="E48" s="13">
        <v>-0.25</v>
      </c>
      <c r="F48" s="13" t="s">
        <v>6</v>
      </c>
      <c r="G48" s="13">
        <v>0.25</v>
      </c>
      <c r="H48" s="13">
        <v>0.1</v>
      </c>
    </row>
    <row r="49" spans="2:8" x14ac:dyDescent="0.35">
      <c r="B49" s="15" t="s">
        <v>16</v>
      </c>
      <c r="C49" s="15">
        <v>45237</v>
      </c>
      <c r="D49" s="29" cm="1">
        <f t="array" ref="D49">IF(DeltaConvention="Included",DeltaPutPremIncl('Market Data'!$E12/D31,(D13/100)^2*($C13-Today)/365,'Market Data'!$H12),DeltaPutPremNonIncl('Market Data'!$E12/D31,(D13/100)^2*($C13-Today)/365,'Market Data'!$H12))</f>
        <v>-0.10000000000000117</v>
      </c>
      <c r="E49" s="29" cm="1">
        <f t="array" ref="E49">IF(DeltaConvention="Included",DeltaPutPremIncl('Market Data'!$E12/E31,(E13/100)^2*($C13-Today)/365,'Market Data'!$H12),DeltaPutPremNonIncl('Market Data'!$E12/E31,(E13/100)^2*($C13-Today)/365,'Market Data'!$H12))</f>
        <v>-0.24999999999996528</v>
      </c>
      <c r="F49" s="25" cm="1">
        <f t="array" ref="F49">ATMDelta('Market Data'!H12,((F13 / 100)^2) * ('FX Smile Surface'!C13-Today) / 365,ATMConvention,DeltaConvention)</f>
        <v>0.49929150073651773</v>
      </c>
      <c r="G49" s="29" cm="1">
        <f t="array" ref="G49">IF(DeltaConvention="Included",DeltaCallPremIncl('Market Data'!$E12/G31,(G13/100)^2*($C13-Today)/365,'Market Data'!$H12),DeltaCallPremNonIncl('Market Data'!$E12/G31,(G13/100)^2*($C13-Today)/365,'Market Data'!$H12))</f>
        <v>0.24999999999998984</v>
      </c>
      <c r="H49" s="29" cm="1">
        <f t="array" ref="H49">IF(DeltaConvention="Included",DeltaCallPremIncl('Market Data'!$E12/H31,(H13/100)^2*($C13-Today)/365,'Market Data'!$H12),DeltaCallPremNonIncl('Market Data'!$E12/H31,(H13/100)^2*($C13-Today)/365,'Market Data'!$H12))</f>
        <v>0.10000000000000142</v>
      </c>
    </row>
    <row r="50" spans="2:8" x14ac:dyDescent="0.35">
      <c r="B50" s="15" t="s">
        <v>15</v>
      </c>
      <c r="C50" s="15">
        <v>45244</v>
      </c>
      <c r="D50" s="29" cm="1">
        <f t="array" ref="D50">IF(DeltaConvention="Included",DeltaPutPremIncl('Market Data'!$E13/D32,(D14/100)^2*($C14-Today)/365,'Market Data'!$H13),DeltaPutPremNonIncl('Market Data'!$E13/D32,(D14/100)^2*($C14-Today)/365,'Market Data'!$H13))</f>
        <v>-9.9999999999998715E-2</v>
      </c>
      <c r="E50" s="29" cm="1">
        <f t="array" ref="E50">IF(DeltaConvention="Included",DeltaPutPremIncl('Market Data'!$E13/E32,(E14/100)^2*($C14-Today)/365,'Market Data'!$H13),DeltaPutPremNonIncl('Market Data'!$E13/E32,(E14/100)^2*($C14-Today)/365,'Market Data'!$H13))</f>
        <v>-0.24999999999995748</v>
      </c>
      <c r="F50" s="25" cm="1">
        <f t="array" ref="F50">ATMDelta('Market Data'!H13,((F14 / 100)^2) * ('FX Smile Surface'!C14-Today) / 365,ATMConvention,DeltaConvention)</f>
        <v>0.4988964062481791</v>
      </c>
      <c r="G50" s="29" cm="1">
        <f t="array" ref="G50">IF(DeltaConvention="Included",DeltaCallPremIncl('Market Data'!$E13/G32,(G14/100)^2*($C14-Today)/365,'Market Data'!$H13),DeltaCallPremNonIncl('Market Data'!$E13/G32,(G14/100)^2*($C14-Today)/365,'Market Data'!$H13))</f>
        <v>0.24999999999998962</v>
      </c>
      <c r="H50" s="29" cm="1">
        <f t="array" ref="H50">IF(DeltaConvention="Included",DeltaCallPremIncl('Market Data'!$E13/H32,(H14/100)^2*($C14-Today)/365,'Market Data'!$H13),DeltaCallPremNonIncl('Market Data'!$E13/H32,(H14/100)^2*($C14-Today)/365,'Market Data'!$H13))</f>
        <v>9.9999999999999048E-2</v>
      </c>
    </row>
    <row r="51" spans="2:8" x14ac:dyDescent="0.35">
      <c r="B51" s="15" t="s">
        <v>19</v>
      </c>
      <c r="C51" s="15">
        <v>45251</v>
      </c>
      <c r="D51" s="29" cm="1">
        <f t="array" ref="D51">IF(DeltaConvention="Included",DeltaPutPremIncl('Market Data'!$E14/D33,(D15/100)^2*($C15-Today)/365,'Market Data'!$H14),DeltaPutPremNonIncl('Market Data'!$E14/D33,(D15/100)^2*($C15-Today)/365,'Market Data'!$H14))</f>
        <v>-9.9999999999999617E-2</v>
      </c>
      <c r="E51" s="29" cm="1">
        <f t="array" ref="E51">IF(DeltaConvention="Included",DeltaPutPremIncl('Market Data'!$E14/E33,(E15/100)^2*($C15-Today)/365,'Market Data'!$H14),DeltaPutPremNonIncl('Market Data'!$E14/E33,(E15/100)^2*($C15-Today)/365,'Market Data'!$H14))</f>
        <v>-0.24999999999995179</v>
      </c>
      <c r="F51" s="25" cm="1">
        <f t="array" ref="F51">ATMDelta('Market Data'!H14,((F15 / 100)^2) * ('FX Smile Surface'!C15-Today) / 365,ATMConvention,DeltaConvention)</f>
        <v>0.49849849213390435</v>
      </c>
      <c r="G51" s="29" cm="1">
        <f t="array" ref="G51">IF(DeltaConvention="Included",DeltaCallPremIncl('Market Data'!$E14/G33,(G15/100)^2*($C15-Today)/365,'Market Data'!$H14),DeltaCallPremNonIncl('Market Data'!$E14/G33,(G15/100)^2*($C15-Today)/365,'Market Data'!$H14))</f>
        <v>0.24999999999999248</v>
      </c>
      <c r="H51" s="29" cm="1">
        <f t="array" ref="H51">IF(DeltaConvention="Included",DeltaCallPremIncl('Market Data'!$E14/H33,(H15/100)^2*($C15-Today)/365,'Market Data'!$H14),DeltaCallPremNonIncl('Market Data'!$E14/H33,(H15/100)^2*($C15-Today)/365,'Market Data'!$H14))</f>
        <v>9.9999999999996911E-2</v>
      </c>
    </row>
    <row r="52" spans="2:8" x14ac:dyDescent="0.35">
      <c r="B52" s="15" t="s">
        <v>20</v>
      </c>
      <c r="C52" s="15">
        <v>45260</v>
      </c>
      <c r="D52" s="29" cm="1">
        <f t="array" ref="D52">IF(DeltaConvention="Included",DeltaPutPremIncl('Market Data'!$E15/D34,(D16/100)^2*($C16-Today)/365,'Market Data'!$H15),DeltaPutPremNonIncl('Market Data'!$E15/D34,(D16/100)^2*($C16-Today)/365,'Market Data'!$H15))</f>
        <v>-0.10000000000000027</v>
      </c>
      <c r="E52" s="29" cm="1">
        <f t="array" ref="E52">IF(DeltaConvention="Included",DeltaPutPremIncl('Market Data'!$E15/E34,(E16/100)^2*($C16-Today)/365,'Market Data'!$H15),DeltaPutPremNonIncl('Market Data'!$E15/E34,(E16/100)^2*($C16-Today)/365,'Market Data'!$H15))</f>
        <v>-0.24999999999994835</v>
      </c>
      <c r="F52" s="25" cm="1">
        <f t="array" ref="F52">ATMDelta('Market Data'!H15,((F16 / 100)^2) * ('FX Smile Surface'!C16-Today) / 365,ATMConvention,DeltaConvention)</f>
        <v>0.49799178520060233</v>
      </c>
      <c r="G52" s="29" cm="1">
        <f t="array" ref="G52">IF(DeltaConvention="Included",DeltaCallPremIncl('Market Data'!$E15/G34,(G16/100)^2*($C16-Today)/365,'Market Data'!$H15),DeltaCallPremNonIncl('Market Data'!$E15/G34,(G16/100)^2*($C16-Today)/365,'Market Data'!$H15))</f>
        <v>0.24999999999999292</v>
      </c>
      <c r="H52" s="29" cm="1">
        <f t="array" ref="H52">IF(DeltaConvention="Included",DeltaCallPremIncl('Market Data'!$E15/H34,(H16/100)^2*($C16-Today)/365,'Market Data'!$H15),DeltaCallPremNonIncl('Market Data'!$E15/H34,(H16/100)^2*($C16-Today)/365,'Market Data'!$H15))</f>
        <v>9.9999999999997188E-2</v>
      </c>
    </row>
    <row r="53" spans="2:8" x14ac:dyDescent="0.35">
      <c r="B53" s="15" t="s">
        <v>21</v>
      </c>
      <c r="C53" s="15">
        <v>45322</v>
      </c>
      <c r="D53" s="29" cm="1">
        <f t="array" ref="D53">IF(DeltaConvention="Included",DeltaPutPremIncl('Market Data'!$E16/D35,(D17/100)^2*($C17-Today)/365,'Market Data'!$H16),DeltaPutPremNonIncl('Market Data'!$E16/D35,(D17/100)^2*($C17-Today)/365,'Market Data'!$H16))</f>
        <v>-9.999999999999995E-2</v>
      </c>
      <c r="E53" s="29" cm="1">
        <f t="array" ref="E53">IF(DeltaConvention="Included",DeltaPutPremIncl('Market Data'!$E16/E35,(E17/100)^2*($C17-Today)/365,'Market Data'!$H16),DeltaPutPremNonIncl('Market Data'!$E16/E35,(E17/100)^2*($C17-Today)/365,'Market Data'!$H16))</f>
        <v>-0.25</v>
      </c>
      <c r="F53" s="25" cm="1">
        <f t="array" ref="F53">ATMDelta('Market Data'!H16,((F17 / 100)^2) * ('FX Smile Surface'!C17-Today) / 365,ATMConvention,DeltaConvention)</f>
        <v>0.49470326467647691</v>
      </c>
      <c r="G53" s="29" cm="1">
        <f t="array" ref="G53">IF(DeltaConvention="Included",DeltaCallPremIncl('Market Data'!$E16/G35,(G17/100)^2*($C17-Today)/365,'Market Data'!$H16),DeltaCallPremNonIncl('Market Data'!$E16/G35,(G17/100)^2*($C17-Today)/365,'Market Data'!$H16))</f>
        <v>0.24999999999999764</v>
      </c>
      <c r="H53" s="29" cm="1">
        <f t="array" ref="H53">IF(DeltaConvention="Included",DeltaCallPremIncl('Market Data'!$E16/H35,(H17/100)^2*($C17-Today)/365,'Market Data'!$H16),DeltaCallPremNonIncl('Market Data'!$E16/H35,(H17/100)^2*($C17-Today)/365,'Market Data'!$H16))</f>
        <v>9.9999999999994427E-2</v>
      </c>
    </row>
    <row r="54" spans="2:8" x14ac:dyDescent="0.35">
      <c r="B54" s="15" t="s">
        <v>22</v>
      </c>
      <c r="C54" s="15">
        <v>45412</v>
      </c>
      <c r="D54" s="29" cm="1">
        <f t="array" ref="D54">IF(DeltaConvention="Included",DeltaPutPremIncl('Market Data'!$E17/D36,(D18/100)^2*($C18-Today)/365,'Market Data'!$H17),DeltaPutPremNonIncl('Market Data'!$E17/D36,(D18/100)^2*($C18-Today)/365,'Market Data'!$H17))</f>
        <v>-9.999999999999977E-2</v>
      </c>
      <c r="E54" s="29" cm="1">
        <f t="array" ref="E54">IF(DeltaConvention="Included",DeltaPutPremIncl('Market Data'!$E17/E36,(E18/100)^2*($C18-Today)/365,'Market Data'!$H17),DeltaPutPremNonIncl('Market Data'!$E17/E36,(E18/100)^2*($C18-Today)/365,'Market Data'!$H17))</f>
        <v>-0.24999999999999956</v>
      </c>
      <c r="F54" s="25" cm="1">
        <f t="array" ref="F54">ATMDelta('Market Data'!H17,((F18 / 100)^2) * ('FX Smile Surface'!C18-Today) / 365,ATMConvention,DeltaConvention)</f>
        <v>0.48967371288157197</v>
      </c>
      <c r="G54" s="29" cm="1">
        <f t="array" ref="G54">IF(DeltaConvention="Included",DeltaCallPremIncl('Market Data'!$E17/G36,(G18/100)^2*($C18-Today)/365,'Market Data'!$H17),DeltaCallPremNonIncl('Market Data'!$E17/G36,(G18/100)^2*($C18-Today)/365,'Market Data'!$H17))</f>
        <v>0.24999999999999992</v>
      </c>
      <c r="H54" s="29" cm="1">
        <f t="array" ref="H54">IF(DeltaConvention="Included",DeltaCallPremIncl('Market Data'!$E17/H36,(H18/100)^2*($C18-Today)/365,'Market Data'!$H17),DeltaCallPremNonIncl('Market Data'!$E17/H36,(H18/100)^2*($C18-Today)/365,'Market Data'!$H17))</f>
        <v>9.9999999999996342E-2</v>
      </c>
    </row>
    <row r="55" spans="2:8" x14ac:dyDescent="0.35">
      <c r="B55" s="15" t="s">
        <v>23</v>
      </c>
      <c r="C55" s="15">
        <v>45504</v>
      </c>
      <c r="D55" s="29" cm="1">
        <f t="array" ref="D55">IF(DeltaConvention="Included",DeltaPutPremIncl('Market Data'!$E18/D37,(D19/100)^2*($C19-Today)/365,'Market Data'!$H18),DeltaPutPremNonIncl('Market Data'!$E18/D37,(D19/100)^2*($C19-Today)/365,'Market Data'!$H18))</f>
        <v>-0.1000000000000001</v>
      </c>
      <c r="E55" s="29" cm="1">
        <f t="array" ref="E55">IF(DeltaConvention="Included",DeltaPutPremIncl('Market Data'!$E18/E37,(E19/100)^2*($C19-Today)/365,'Market Data'!$H18),DeltaPutPremNonIncl('Market Data'!$E18/E37,(E19/100)^2*($C19-Today)/365,'Market Data'!$H18))</f>
        <v>-0.25000000000000022</v>
      </c>
      <c r="F55" s="25" cm="1">
        <f t="array" ref="F55">ATMDelta('Market Data'!H18,((F19 / 100)^2) * ('FX Smile Surface'!C19-Today) / 365,ATMConvention,DeltaConvention)</f>
        <v>0.48481857361282066</v>
      </c>
      <c r="G55" s="29" cm="1">
        <f t="array" ref="G55">IF(DeltaConvention="Included",DeltaCallPremIncl('Market Data'!$E18/G37,(G19/100)^2*($C19-Today)/365,'Market Data'!$H18),DeltaCallPremNonIncl('Market Data'!$E18/G37,(G19/100)^2*($C19-Today)/365,'Market Data'!$H18))</f>
        <v>0.24999999999999972</v>
      </c>
      <c r="H55" s="29" cm="1">
        <f t="array" ref="H55">IF(DeltaConvention="Included",DeltaCallPremIncl('Market Data'!$E18/H37,(H19/100)^2*($C19-Today)/365,'Market Data'!$H18),DeltaCallPremNonIncl('Market Data'!$E18/H37,(H19/100)^2*($C19-Today)/365,'Market Data'!$H18))</f>
        <v>9.9999999999997993E-2</v>
      </c>
    </row>
    <row r="56" spans="2:8" x14ac:dyDescent="0.35">
      <c r="B56" s="15" t="s">
        <v>24</v>
      </c>
      <c r="C56" s="15">
        <v>45596</v>
      </c>
      <c r="D56" s="29" cm="1">
        <f t="array" ref="D56">IF(DeltaConvention="Included",DeltaPutPremIncl('Market Data'!$E19/D38,(D20/100)^2*($C20-Today)/365,'Market Data'!$H19),DeltaPutPremNonIncl('Market Data'!$E19/D38,(D20/100)^2*($C20-Today)/365,'Market Data'!$H19))</f>
        <v>-0.10000000000000002</v>
      </c>
      <c r="E56" s="29" cm="1">
        <f t="array" ref="E56">IF(DeltaConvention="Included",DeltaPutPremIncl('Market Data'!$E19/E38,(E20/100)^2*($C20-Today)/365,'Market Data'!$H19),DeltaPutPremNonIncl('Market Data'!$E19/E38,(E20/100)^2*($C20-Today)/365,'Market Data'!$H19))</f>
        <v>-0.25000000000000017</v>
      </c>
      <c r="F56" s="25" cm="1">
        <f t="array" ref="F56">ATMDelta('Market Data'!H19,((F20 / 100)^2) * ('FX Smile Surface'!C20-Today) / 365,ATMConvention,DeltaConvention)</f>
        <v>0.4802286490653378</v>
      </c>
      <c r="G56" s="29" cm="1">
        <f t="array" ref="G56">IF(DeltaConvention="Included",DeltaCallPremIncl('Market Data'!$E19/G38,(G20/100)^2*($C20-Today)/365,'Market Data'!$H19),DeltaCallPremNonIncl('Market Data'!$E19/G38,(G20/100)^2*($C20-Today)/365,'Market Data'!$H19))</f>
        <v>0.25000000000000017</v>
      </c>
      <c r="H56" s="29" cm="1">
        <f t="array" ref="H56">IF(DeltaConvention="Included",DeltaCallPremIncl('Market Data'!$E19/H38,(H20/100)^2*($C20-Today)/365,'Market Data'!$H19),DeltaCallPremNonIncl('Market Data'!$E19/H38,(H20/100)^2*($C20-Today)/365,'Market Data'!$H19))</f>
        <v>9.999999999999909E-2</v>
      </c>
    </row>
    <row r="57" spans="2:8" x14ac:dyDescent="0.35">
      <c r="B57" s="15" t="s">
        <v>25</v>
      </c>
      <c r="C57" s="15">
        <v>45777</v>
      </c>
      <c r="D57" s="29" cm="1">
        <f t="array" ref="D57">IF(DeltaConvention="Included",DeltaPutPremIncl('Market Data'!$E20/D39,(D21/100)^2*($C21-Today)/365,'Market Data'!$H20),DeltaPutPremNonIncl('Market Data'!$E20/D39,(D21/100)^2*($C21-Today)/365,'Market Data'!$H20))</f>
        <v>-0.10000000000000012</v>
      </c>
      <c r="E57" s="29" cm="1">
        <f t="array" ref="E57">IF(DeltaConvention="Included",DeltaPutPremIncl('Market Data'!$E20/E39,(E21/100)^2*($C21-Today)/365,'Market Data'!$H20),DeltaPutPremNonIncl('Market Data'!$E20/E39,(E21/100)^2*($C21-Today)/365,'Market Data'!$H20))</f>
        <v>-0.24999999999999983</v>
      </c>
      <c r="F57" s="25" cm="1">
        <f t="array" ref="F57">ATMDelta('Market Data'!H20,((F21 / 100)^2) * ('FX Smile Surface'!C21-Today) / 365,ATMConvention,DeltaConvention)</f>
        <v>0.47216930664611512</v>
      </c>
      <c r="G57" s="29" cm="1">
        <f t="array" ref="G57">IF(DeltaConvention="Included",DeltaCallPremIncl('Market Data'!$E20/G39,(G21/100)^2*($C21-Today)/365,'Market Data'!$H20),DeltaCallPremNonIncl('Market Data'!$E20/G39,(G21/100)^2*($C21-Today)/365,'Market Data'!$H20))</f>
        <v>0.25000000000000044</v>
      </c>
      <c r="H57" s="29" cm="1">
        <f t="array" ref="H57">IF(DeltaConvention="Included",DeltaCallPremIncl('Market Data'!$E20/H39,(H21/100)^2*($C21-Today)/365,'Market Data'!$H20),DeltaCallPremNonIncl('Market Data'!$E20/H39,(H21/100)^2*($C21-Today)/365,'Market Data'!$H20))</f>
        <v>9.9999999999999881E-2</v>
      </c>
    </row>
    <row r="58" spans="2:8" x14ac:dyDescent="0.35">
      <c r="B58" s="15" t="s">
        <v>26</v>
      </c>
      <c r="C58" s="15">
        <v>45961</v>
      </c>
      <c r="D58" s="29" cm="1">
        <f t="array" ref="D58">IF(DeltaConvention="Included",DeltaPutPremIncl('Market Data'!$E21/D40,(D22/100)^2*($C22-Today)/365,'Market Data'!$H21),DeltaPutPremNonIncl('Market Data'!$E21/D40,(D22/100)^2*($C22-Today)/365,'Market Data'!$H21))</f>
        <v>-0.10000000000000009</v>
      </c>
      <c r="E58" s="29" cm="1">
        <f t="array" ref="E58">IF(DeltaConvention="Included",DeltaPutPremIncl('Market Data'!$E21/E40,(E22/100)^2*($C22-Today)/365,'Market Data'!$H21),DeltaPutPremNonIncl('Market Data'!$E21/E40,(E22/100)^2*($C22-Today)/365,'Market Data'!$H21))</f>
        <v>-0.2500000000000005</v>
      </c>
      <c r="F58" s="25" cm="1">
        <f t="array" ref="F58">ATMDelta('Market Data'!H21,((F22 / 100)^2) * ('FX Smile Surface'!C22-Today) / 365,ATMConvention,DeltaConvention)</f>
        <v>0.46452413894218464</v>
      </c>
      <c r="G58" s="29" cm="1">
        <f t="array" ref="G58">IF(DeltaConvention="Included",DeltaCallPremIncl('Market Data'!$E21/G40,(G22/100)^2*($C22-Today)/365,'Market Data'!$H21),DeltaCallPremNonIncl('Market Data'!$E21/G40,(G22/100)^2*($C22-Today)/365,'Market Data'!$H21))</f>
        <v>0.24999999999999978</v>
      </c>
      <c r="H58" s="29" cm="1">
        <f t="array" ref="H58">IF(DeltaConvention="Included",DeltaCallPremIncl('Market Data'!$E21/H40,(H22/100)^2*($C22-Today)/365,'Market Data'!$H21),DeltaCallPremNonIncl('Market Data'!$E21/H40,(H22/100)^2*($C22-Today)/365,'Market Data'!$H21))</f>
        <v>9.999999999999995E-2</v>
      </c>
    </row>
    <row r="59" spans="2:8" x14ac:dyDescent="0.35">
      <c r="B59" s="15" t="s">
        <v>27</v>
      </c>
      <c r="C59" s="15">
        <v>46325</v>
      </c>
      <c r="D59" s="29" cm="1">
        <f t="array" ref="D59">IF(DeltaConvention="Included",DeltaPutPremIncl('Market Data'!$E22/D41,(D23/100)^2*($C23-Today)/365,'Market Data'!$H22),DeltaPutPremNonIncl('Market Data'!$E22/D41,(D23/100)^2*($C23-Today)/365,'Market Data'!$H22))</f>
        <v>-0.10000000000000013</v>
      </c>
      <c r="E59" s="29" cm="1">
        <f t="array" ref="E59">IF(DeltaConvention="Included",DeltaPutPremIncl('Market Data'!$E22/E41,(E23/100)^2*($C23-Today)/365,'Market Data'!$H22),DeltaPutPremNonIncl('Market Data'!$E22/E41,(E23/100)^2*($C23-Today)/365,'Market Data'!$H22))</f>
        <v>-0.25000000000000011</v>
      </c>
      <c r="F59" s="25" cm="1">
        <f t="array" ref="F59">ATMDelta('Market Data'!H22,((F23 / 100)^2) * ('FX Smile Surface'!C23-Today) / 365,ATMConvention,DeltaConvention)</f>
        <v>0.44957594066046164</v>
      </c>
      <c r="G59" s="29" cm="1">
        <f t="array" ref="G59">IF(DeltaConvention="Included",DeltaCallPremIncl('Market Data'!$E22/G41,(G23/100)^2*($C23-Today)/365,'Market Data'!$H22),DeltaCallPremNonIncl('Market Data'!$E22/G41,(G23/100)^2*($C23-Today)/365,'Market Data'!$H22))</f>
        <v>0.24999999999999969</v>
      </c>
      <c r="H59" s="29" cm="1">
        <f t="array" ref="H59">IF(DeltaConvention="Included",DeltaCallPremIncl('Market Data'!$E22/H41,(H23/100)^2*($C23-Today)/365,'Market Data'!$H22),DeltaCallPremNonIncl('Market Data'!$E22/H41,(H23/100)^2*($C23-Today)/365,'Market Data'!$H22))</f>
        <v>9.9999999999999964E-2</v>
      </c>
    </row>
    <row r="60" spans="2:8" x14ac:dyDescent="0.35">
      <c r="B60" s="15" t="s">
        <v>28</v>
      </c>
      <c r="C60" s="15">
        <v>46689</v>
      </c>
      <c r="D60" s="29" cm="1">
        <f t="array" ref="D60">IF(DeltaConvention="Included",DeltaPutPremIncl('Market Data'!$E23/D42,(D24/100)^2*($C24-Today)/365,'Market Data'!$H23),DeltaPutPremNonIncl('Market Data'!$E23/D42,(D24/100)^2*($C24-Today)/365,'Market Data'!$H23))</f>
        <v>-0.10000000000000003</v>
      </c>
      <c r="E60" s="29" cm="1">
        <f t="array" ref="E60">IF(DeltaConvention="Included",DeltaPutPremIncl('Market Data'!$E23/E42,(E24/100)^2*($C24-Today)/365,'Market Data'!$H23),DeltaPutPremNonIncl('Market Data'!$E23/E42,(E24/100)^2*($C24-Today)/365,'Market Data'!$H23))</f>
        <v>-0.25000000000000011</v>
      </c>
      <c r="F60" s="25" cm="1">
        <f t="array" ref="F60">ATMDelta('Market Data'!H23,((F24 / 100)^2) * ('FX Smile Surface'!C24-Today) / 365,ATMConvention,DeltaConvention)</f>
        <v>0.43344908068409527</v>
      </c>
      <c r="G60" s="29" cm="1">
        <f t="array" ref="G60">IF(DeltaConvention="Included",DeltaCallPremIncl('Market Data'!$E23/G42,(G24/100)^2*($C24-Today)/365,'Market Data'!$H23),DeltaCallPremNonIncl('Market Data'!$E23/G42,(G24/100)^2*($C24-Today)/365,'Market Data'!$H23))</f>
        <v>0.24999999999999944</v>
      </c>
      <c r="H60" s="29" cm="1">
        <f t="array" ref="H60">IF(DeltaConvention="Included",DeltaCallPremIncl('Market Data'!$E23/H42,(H24/100)^2*($C24-Today)/365,'Market Data'!$H23),DeltaCallPremNonIncl('Market Data'!$E23/H42,(H24/100)^2*($C24-Today)/365,'Market Data'!$H23))</f>
        <v>9.9999999999999103E-2</v>
      </c>
    </row>
    <row r="61" spans="2:8" x14ac:dyDescent="0.35">
      <c r="B61" s="15" t="s">
        <v>29</v>
      </c>
      <c r="C61" s="15">
        <v>47057</v>
      </c>
      <c r="D61" s="29" cm="1">
        <f t="array" ref="D61">IF(DeltaConvention="Included",DeltaPutPremIncl('Market Data'!$E24/D43,(D25/100)^2*($C25-Today)/365,'Market Data'!$H24),DeltaPutPremNonIncl('Market Data'!$E24/D43,(D25/100)^2*($C25-Today)/365,'Market Data'!$H24))</f>
        <v>-0.1000000000000001</v>
      </c>
      <c r="E61" s="29" cm="1">
        <f t="array" ref="E61">IF(DeltaConvention="Included",DeltaPutPremIncl('Market Data'!$E24/E43,(E25/100)^2*($C25-Today)/365,'Market Data'!$H24),DeltaPutPremNonIncl('Market Data'!$E24/E43,(E25/100)^2*($C25-Today)/365,'Market Data'!$H24))</f>
        <v>-0.25000000000000011</v>
      </c>
      <c r="F61" s="25" cm="1">
        <f t="array" ref="F61">ATMDelta('Market Data'!H24,((F25 / 100)^2) * ('FX Smile Surface'!C25-Today) / 365,ATMConvention,DeltaConvention)</f>
        <v>0.41631193203749689</v>
      </c>
      <c r="G61" s="29" cm="1">
        <f t="array" ref="G61">IF(DeltaConvention="Included",DeltaCallPremIncl('Market Data'!$E24/G43,(G25/100)^2*($C25-Today)/365,'Market Data'!$H24),DeltaCallPremNonIncl('Market Data'!$E24/G43,(G25/100)^2*($C25-Today)/365,'Market Data'!$H24))</f>
        <v>0.24999999999999986</v>
      </c>
      <c r="H61" s="29" cm="1">
        <f t="array" ref="H61">IF(DeltaConvention="Included",DeltaCallPremIncl('Market Data'!$E24/H43,(H25/100)^2*($C25-Today)/365,'Market Data'!$H24),DeltaCallPremNonIncl('Market Data'!$E24/H43,(H25/100)^2*($C25-Today)/365,'Market Data'!$H24))</f>
        <v>9.9999999999999992E-2</v>
      </c>
    </row>
  </sheetData>
  <mergeCells count="7">
    <mergeCell ref="B45:H45"/>
    <mergeCell ref="B47:C47"/>
    <mergeCell ref="B5:C5"/>
    <mergeCell ref="B9:H9"/>
    <mergeCell ref="B27:H27"/>
    <mergeCell ref="B11:C11"/>
    <mergeCell ref="B29:C29"/>
  </mergeCells>
  <dataValidations count="2">
    <dataValidation type="list" allowBlank="1" showInputMessage="1" showErrorMessage="1" sqref="C7" xr:uid="{B462A814-6CAA-4D19-8625-769C0003E9AF}">
      <formula1>"Non included, Included"</formula1>
    </dataValidation>
    <dataValidation type="list" allowBlank="1" showInputMessage="1" showErrorMessage="1" sqref="C6" xr:uid="{729F4FEB-B261-4D65-85B7-C5159025EE0E}">
      <formula1>"Forward, Delta Neutral"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C33D-271D-4254-AD70-06204D1C9CE3}">
  <sheetPr codeName="Feuil4"/>
  <dimension ref="B1:M27"/>
  <sheetViews>
    <sheetView showGridLines="0" workbookViewId="0"/>
  </sheetViews>
  <sheetFormatPr baseColWidth="10" defaultRowHeight="14.5" x14ac:dyDescent="0.35"/>
  <cols>
    <col min="2" max="2" width="16.90625" customWidth="1"/>
    <col min="3" max="3" width="14.08984375" customWidth="1"/>
    <col min="4" max="4" width="13.08984375" customWidth="1"/>
    <col min="5" max="5" width="11.90625" customWidth="1"/>
    <col min="6" max="6" width="19.6328125" customWidth="1"/>
    <col min="7" max="7" width="12.26953125" bestFit="1" customWidth="1"/>
    <col min="13" max="13" width="11.81640625" bestFit="1" customWidth="1"/>
  </cols>
  <sheetData>
    <row r="1" spans="2:13" s="3" customFormat="1" ht="10" x14ac:dyDescent="0.2">
      <c r="B1" s="2"/>
      <c r="F1" s="2"/>
    </row>
    <row r="2" spans="2:13" s="3" customFormat="1" ht="11.25" customHeight="1" x14ac:dyDescent="0.2">
      <c r="B2" s="7" t="s">
        <v>33</v>
      </c>
      <c r="C2" s="4" t="s">
        <v>35</v>
      </c>
      <c r="D2" s="5" t="s">
        <v>34</v>
      </c>
      <c r="E2" s="6" t="s">
        <v>44</v>
      </c>
    </row>
    <row r="3" spans="2:13" s="3" customFormat="1" ht="10" x14ac:dyDescent="0.2">
      <c r="B3" s="2"/>
      <c r="F3" s="2"/>
    </row>
    <row r="5" spans="2:13" x14ac:dyDescent="0.35">
      <c r="B5" s="41" t="s">
        <v>55</v>
      </c>
      <c r="C5" s="41"/>
    </row>
    <row r="6" spans="2:13" x14ac:dyDescent="0.35">
      <c r="B6" s="17" t="s">
        <v>45</v>
      </c>
      <c r="C6" s="8">
        <f>Today</f>
        <v>45226</v>
      </c>
    </row>
    <row r="7" spans="2:13" x14ac:dyDescent="0.35">
      <c r="B7" s="17" t="s">
        <v>17</v>
      </c>
      <c r="C7" s="6" t="str">
        <f>'Market Data'!C6</f>
        <v>EUR/USD</v>
      </c>
      <c r="F7" s="16" t="str">
        <f>"FX Implied Volatilities " &amp; C12</f>
        <v>FX Implied Volatilities 3Y</v>
      </c>
      <c r="G7" s="16" t="str">
        <f>'FX Smile Surface'!D11</f>
        <v>10D Put</v>
      </c>
      <c r="H7" s="16" t="str">
        <f>'FX Smile Surface'!E11</f>
        <v>25D Put</v>
      </c>
      <c r="I7" s="16" t="str">
        <f>'FX Smile Surface'!F11</f>
        <v>ATM</v>
      </c>
      <c r="J7" s="16" t="str">
        <f>'FX Smile Surface'!G11</f>
        <v>25D Call</v>
      </c>
      <c r="K7" s="16" t="str">
        <f>'FX Smile Surface'!H11</f>
        <v>10D Call</v>
      </c>
    </row>
    <row r="8" spans="2:13" x14ac:dyDescent="0.35">
      <c r="B8" s="17" t="s">
        <v>59</v>
      </c>
      <c r="C8" s="6">
        <f>Spot</f>
        <v>1.0562</v>
      </c>
      <c r="F8" s="17" t="s">
        <v>10</v>
      </c>
      <c r="G8" s="11" cm="1">
        <f t="array" ref="G8:K8">TRANSPOSE(VLOOKUP(C12,'FX Smile Surface'!B31:H43,{3;4;5;6;7},FALSE))</f>
        <v>0.90224327632283374</v>
      </c>
      <c r="H8" s="11">
        <v>1.0142367157107188</v>
      </c>
      <c r="I8" s="11">
        <v>1.1009928123667985</v>
      </c>
      <c r="J8" s="11">
        <v>1.2060269914277233</v>
      </c>
      <c r="K8" s="11">
        <v>1.3280806724467085</v>
      </c>
      <c r="M8" s="10"/>
    </row>
    <row r="9" spans="2:13" x14ac:dyDescent="0.35">
      <c r="B9" s="17" t="s">
        <v>46</v>
      </c>
      <c r="C9" s="4" t="s">
        <v>12</v>
      </c>
      <c r="F9" s="17" t="s">
        <v>51</v>
      </c>
      <c r="G9" s="11" cm="1">
        <f t="array" ref="G9:K9">TRANSPOSE(VLOOKUP(C12,'FX Smile Surface'!B13:H25,{3;4;5;6;7},FALSE))</f>
        <v>10.134500000000001</v>
      </c>
      <c r="H9" s="11">
        <v>8.8790000000000013</v>
      </c>
      <c r="I9" s="11">
        <v>8.06</v>
      </c>
      <c r="J9" s="11">
        <v>7.8910000000000009</v>
      </c>
      <c r="K9" s="11">
        <v>8.1515000000000004</v>
      </c>
    </row>
    <row r="10" spans="2:13" x14ac:dyDescent="0.35">
      <c r="B10" s="17" t="s">
        <v>62</v>
      </c>
      <c r="C10" s="26">
        <v>1000000</v>
      </c>
      <c r="F10" s="17" t="s">
        <v>58</v>
      </c>
      <c r="G10" s="20">
        <f>IF(Scale="Strike", G8, IF(Scale="Moneyness", G8/Forward, LN(G8/Forward)))</f>
        <v>-0.20886355354428845</v>
      </c>
      <c r="H10" s="20">
        <f>IF(Scale="Strike", H8, IF(Scale="Moneyness", H8/Forward, LN(H8/Forward)))</f>
        <v>-9.1856140564335845E-2</v>
      </c>
      <c r="I10" s="20">
        <f>IF(Scale="Strike", I8, IF(Scale="Moneyness", I8/Forward, LN(I8/Forward)))</f>
        <v>-9.7801364931507165E-3</v>
      </c>
      <c r="J10" s="20">
        <f>IF(Scale="Strike", J8, IF(Scale="Moneyness", J8/Forward, LN(J8/Forward)))</f>
        <v>8.1339013071041188E-2</v>
      </c>
      <c r="K10" s="20">
        <f>IF(Scale="Strike", K8, IF(Scale="Moneyness", K8/Forward, LN(K8/Forward)))</f>
        <v>0.17774233059834638</v>
      </c>
    </row>
    <row r="11" spans="2:13" x14ac:dyDescent="0.35">
      <c r="B11" s="17" t="s">
        <v>9</v>
      </c>
      <c r="C11" s="33">
        <v>1.0449999999999999</v>
      </c>
      <c r="G11" s="10"/>
      <c r="H11" s="10"/>
      <c r="I11" s="10"/>
      <c r="J11" s="10"/>
      <c r="K11" s="10"/>
    </row>
    <row r="12" spans="2:13" x14ac:dyDescent="0.35">
      <c r="B12" s="17" t="s">
        <v>48</v>
      </c>
      <c r="C12" s="4" t="s">
        <v>27</v>
      </c>
      <c r="G12" s="10"/>
      <c r="H12" s="10"/>
      <c r="I12" s="10"/>
      <c r="J12" s="10"/>
      <c r="K12" s="10"/>
    </row>
    <row r="13" spans="2:13" x14ac:dyDescent="0.35">
      <c r="B13" s="18"/>
      <c r="C13" s="18"/>
      <c r="G13" s="10"/>
      <c r="H13" s="10"/>
      <c r="I13" s="10"/>
      <c r="J13" s="10"/>
      <c r="K13" s="31"/>
    </row>
    <row r="14" spans="2:13" x14ac:dyDescent="0.35">
      <c r="B14" s="41" t="s">
        <v>56</v>
      </c>
      <c r="C14" s="41"/>
    </row>
    <row r="15" spans="2:13" x14ac:dyDescent="0.35">
      <c r="B15" s="17" t="s">
        <v>52</v>
      </c>
      <c r="C15" s="4" t="s">
        <v>61</v>
      </c>
      <c r="F15" s="36"/>
    </row>
    <row r="16" spans="2:13" x14ac:dyDescent="0.35">
      <c r="B16" s="17" t="s">
        <v>64</v>
      </c>
      <c r="C16" s="4" t="s">
        <v>71</v>
      </c>
      <c r="F16" s="36"/>
    </row>
    <row r="17" spans="2:9" x14ac:dyDescent="0.35">
      <c r="B17" s="17" t="s">
        <v>53</v>
      </c>
      <c r="C17" s="4" t="s">
        <v>54</v>
      </c>
    </row>
    <row r="18" spans="2:9" x14ac:dyDescent="0.35">
      <c r="F18" s="30"/>
    </row>
    <row r="19" spans="2:9" x14ac:dyDescent="0.35">
      <c r="B19" s="41" t="s">
        <v>57</v>
      </c>
      <c r="C19" s="41"/>
      <c r="G19" s="30"/>
    </row>
    <row r="20" spans="2:9" x14ac:dyDescent="0.35">
      <c r="B20" s="17" t="s">
        <v>49</v>
      </c>
      <c r="C20" s="9">
        <f>VLOOKUP(C12,'FX Smile Surface'!B13:C25,2,FALSE)</f>
        <v>46325</v>
      </c>
    </row>
    <row r="21" spans="2:9" x14ac:dyDescent="0.35">
      <c r="B21" s="17" t="s">
        <v>65</v>
      </c>
      <c r="C21" s="28">
        <f>(C20-C6)/365</f>
        <v>3.010958904109589</v>
      </c>
      <c r="I21" s="30"/>
    </row>
    <row r="22" spans="2:9" x14ac:dyDescent="0.35">
      <c r="B22" s="17" t="s">
        <v>36</v>
      </c>
      <c r="C22" s="22">
        <f>VLOOKUP(C12,'Market Data'!B12:H24,5,FALSE)</f>
        <v>4.9099999999999998E-2</v>
      </c>
      <c r="F22" s="30"/>
      <c r="G22" s="30"/>
    </row>
    <row r="23" spans="2:9" x14ac:dyDescent="0.35">
      <c r="B23" s="17" t="s">
        <v>60</v>
      </c>
      <c r="C23" s="22">
        <f>VLOOKUP(C12,'Market Data'!B12:H24,6,FALSE)</f>
        <v>3.2057288266390434E-2</v>
      </c>
      <c r="F23" s="30"/>
    </row>
    <row r="24" spans="2:9" x14ac:dyDescent="0.35">
      <c r="B24" s="17" t="s">
        <v>11</v>
      </c>
      <c r="C24" s="20">
        <f>VLOOKUP(C12,'Market Data'!B12:H24,4,FALSE)</f>
        <v>1.1118135</v>
      </c>
    </row>
    <row r="25" spans="2:9" x14ac:dyDescent="0.35">
      <c r="B25" s="32" t="s">
        <v>67</v>
      </c>
      <c r="C25" s="20">
        <f>EXP(-DomRate*Expiry)</f>
        <v>0.86257076920386777</v>
      </c>
    </row>
    <row r="26" spans="2:9" x14ac:dyDescent="0.35">
      <c r="B26" s="17" t="s">
        <v>50</v>
      </c>
      <c r="C26" s="22">
        <v>8.5098101959752481E-2</v>
      </c>
      <c r="D26" s="34"/>
    </row>
    <row r="27" spans="2:9" x14ac:dyDescent="0.35">
      <c r="B27" s="17" t="s">
        <v>63</v>
      </c>
      <c r="C27" s="27">
        <v>88305.337884308887</v>
      </c>
      <c r="D27" s="30"/>
      <c r="G27" s="35"/>
    </row>
  </sheetData>
  <mergeCells count="3">
    <mergeCell ref="B14:C14"/>
    <mergeCell ref="B19:C19"/>
    <mergeCell ref="B5:C5"/>
  </mergeCells>
  <dataValidations count="4">
    <dataValidation type="list" allowBlank="1" showInputMessage="1" showErrorMessage="1" sqref="C9" xr:uid="{0F79F8CE-AF05-4CC3-87C6-BB360373D0E0}">
      <formula1>"Call, Put"</formula1>
    </dataValidation>
    <dataValidation type="list" allowBlank="1" showInputMessage="1" showErrorMessage="1" sqref="C15" xr:uid="{066223FD-A9D9-4904-8A77-81AE1BDE9EAC}">
      <formula1>"Strike, Moneyness, Log-Moneyness"</formula1>
    </dataValidation>
    <dataValidation type="list" allowBlank="1" showInputMessage="1" showErrorMessage="1" sqref="C16" xr:uid="{94C66633-A43B-466E-A57D-447C02C51FA5}">
      <formula1>"Linear, Cubic Spline"</formula1>
    </dataValidation>
    <dataValidation type="list" allowBlank="1" showInputMessage="1" showErrorMessage="1" sqref="C17" xr:uid="{EFE22213-8B73-4695-A481-187ECD28D9F4}">
      <formula1>"Flat"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Feuil4.Price">
                <anchor moveWithCells="1" sizeWithCells="1">
                  <from>
                    <xdr:col>1</xdr:col>
                    <xdr:colOff>552450</xdr:colOff>
                    <xdr:row>27</xdr:row>
                    <xdr:rowOff>114300</xdr:rowOff>
                  </from>
                  <to>
                    <xdr:col>2</xdr:col>
                    <xdr:colOff>603250</xdr:colOff>
                    <xdr:row>30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EE7D73-E1DF-46F0-A288-9B1330C688EC}">
          <x14:formula1>
            <xm:f>'FX Smile Surface'!$B$13:$B$25</xm:f>
          </x14:formula1>
          <xm:sqref>C12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19</vt:i4>
      </vt:variant>
    </vt:vector>
  </HeadingPairs>
  <TitlesOfParts>
    <vt:vector size="22" baseType="lpstr">
      <vt:lpstr>Market Data</vt:lpstr>
      <vt:lpstr>FX Smile Surface</vt:lpstr>
      <vt:lpstr>FX Black-Scholes Pricer</vt:lpstr>
      <vt:lpstr>Abscissa</vt:lpstr>
      <vt:lpstr>ATMConvention</vt:lpstr>
      <vt:lpstr>DeltaConvention</vt:lpstr>
      <vt:lpstr>DF</vt:lpstr>
      <vt:lpstr>DomRate</vt:lpstr>
      <vt:lpstr>Expiry</vt:lpstr>
      <vt:lpstr>Extrapolation</vt:lpstr>
      <vt:lpstr>Flavor</vt:lpstr>
      <vt:lpstr>ForRate</vt:lpstr>
      <vt:lpstr>Forward</vt:lpstr>
      <vt:lpstr>InterpMethod</vt:lpstr>
      <vt:lpstr>Notional</vt:lpstr>
      <vt:lpstr>Ordinate</vt:lpstr>
      <vt:lpstr>Price</vt:lpstr>
      <vt:lpstr>Scale</vt:lpstr>
      <vt:lpstr>Spot</vt:lpstr>
      <vt:lpstr>Strike</vt:lpstr>
      <vt:lpstr>Today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Idriss Afra</dc:creator>
  <cp:lastModifiedBy>Idriss Afra</cp:lastModifiedBy>
  <dcterms:created xsi:type="dcterms:W3CDTF">2015-06-05T18:19:34Z</dcterms:created>
  <dcterms:modified xsi:type="dcterms:W3CDTF">2023-10-29T21:00:40Z</dcterms:modified>
</cp:coreProperties>
</file>